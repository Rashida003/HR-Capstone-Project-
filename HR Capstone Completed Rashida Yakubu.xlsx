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RASHIDA\"/>
    </mc:Choice>
  </mc:AlternateContent>
  <xr:revisionPtr revIDLastSave="0" documentId="13_ncr:1_{43087281-3B5A-4532-8A78-7DB493CC8435}" xr6:coauthVersionLast="47" xr6:coauthVersionMax="47" xr10:uidLastSave="{00000000-0000-0000-0000-000000000000}"/>
  <bookViews>
    <workbookView xWindow="-120" yWindow="-120" windowWidth="20730" windowHeight="11160" xr2:uid="{00000000-000D-0000-FFFF-FFFF00000000}"/>
  </bookViews>
  <sheets>
    <sheet name="HR Dashboard" sheetId="13" r:id="rId1"/>
    <sheet name="Analysis" sheetId="7" r:id="rId2"/>
    <sheet name="Cleaned Employee Dataset" sheetId="6" r:id="rId3"/>
    <sheet name="Lookup_Departments" sheetId="2" r:id="rId4"/>
    <sheet name="Lookup_Performance" sheetId="3" r:id="rId5"/>
    <sheet name="Raw_Employee_Data" sheetId="15" r:id="rId6"/>
  </sheets>
  <definedNames>
    <definedName name="ExternalData_1" localSheetId="2" hidden="1">'Cleaned Employee Dataset'!$B$1:$J$151</definedName>
    <definedName name="Slicer_Department">#N/A</definedName>
    <definedName name="Slicer_Employment_Status">#N/A</definedName>
    <definedName name="Slicer_Performace_Ban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0" i="6" l="1"/>
  <c r="D122" i="6"/>
  <c r="D16" i="6"/>
  <c r="D142" i="6"/>
  <c r="D136" i="6"/>
  <c r="D87" i="6"/>
  <c r="D151" i="6"/>
  <c r="D100" i="6"/>
  <c r="D51" i="6"/>
  <c r="D28" i="6"/>
  <c r="D88" i="6"/>
  <c r="D15" i="6"/>
  <c r="D105" i="6"/>
  <c r="D94" i="6"/>
  <c r="D84" i="6"/>
  <c r="D145" i="6"/>
  <c r="D14" i="6"/>
  <c r="D40" i="6"/>
  <c r="D58" i="6"/>
  <c r="D23" i="6"/>
  <c r="D48" i="6"/>
  <c r="D104" i="6"/>
  <c r="D131" i="6"/>
  <c r="D21" i="6"/>
  <c r="D125" i="6"/>
  <c r="D144" i="6"/>
  <c r="D81" i="6"/>
  <c r="D129" i="6"/>
  <c r="D57" i="6"/>
  <c r="D7" i="6"/>
  <c r="D8" i="6"/>
  <c r="D147" i="6"/>
  <c r="D77" i="6"/>
  <c r="D117" i="6"/>
  <c r="D41" i="6"/>
  <c r="D9" i="6"/>
  <c r="D130" i="6"/>
  <c r="D126" i="6"/>
  <c r="D89" i="6"/>
  <c r="D45" i="6"/>
  <c r="D55" i="6"/>
  <c r="D90" i="6"/>
  <c r="D72" i="6"/>
  <c r="D80" i="6"/>
  <c r="D22" i="6"/>
  <c r="D26" i="6"/>
  <c r="D79" i="6"/>
  <c r="D111" i="6"/>
  <c r="D32" i="6"/>
  <c r="D92" i="6"/>
  <c r="D118" i="6"/>
  <c r="D25" i="6"/>
  <c r="D82" i="6"/>
  <c r="D68" i="6"/>
  <c r="D101" i="6"/>
  <c r="D143" i="6"/>
  <c r="D99" i="6"/>
  <c r="D54" i="6"/>
  <c r="D150" i="6"/>
  <c r="D149" i="6"/>
  <c r="D97" i="6"/>
  <c r="D35" i="6"/>
  <c r="D4" i="6"/>
  <c r="D37" i="6"/>
  <c r="D133" i="6"/>
  <c r="D30" i="6"/>
  <c r="D36" i="6"/>
  <c r="D74" i="6"/>
  <c r="D108" i="6"/>
  <c r="D46" i="6"/>
  <c r="D6" i="6"/>
  <c r="D61" i="6"/>
  <c r="D132" i="6"/>
  <c r="D10" i="6"/>
  <c r="D27" i="6"/>
  <c r="D73" i="6"/>
  <c r="D33" i="6"/>
  <c r="D113" i="6"/>
  <c r="D75" i="6"/>
  <c r="D13" i="6"/>
  <c r="D65" i="6"/>
  <c r="D146" i="6"/>
  <c r="D128" i="6"/>
  <c r="D102" i="6"/>
  <c r="D148" i="6"/>
  <c r="D96" i="6"/>
  <c r="D110" i="6"/>
  <c r="D83" i="6"/>
  <c r="D39" i="6"/>
  <c r="D66" i="6"/>
  <c r="D78" i="6"/>
  <c r="D12" i="6"/>
  <c r="D60" i="6"/>
  <c r="D52" i="6"/>
  <c r="D2" i="6"/>
  <c r="D67" i="6"/>
  <c r="D114" i="6"/>
  <c r="D98" i="6"/>
  <c r="D71" i="6"/>
  <c r="D3" i="6"/>
  <c r="D34" i="6"/>
  <c r="D140" i="6"/>
  <c r="D53" i="6"/>
  <c r="D85" i="6"/>
  <c r="D18" i="6"/>
  <c r="D103" i="6"/>
  <c r="D107" i="6"/>
  <c r="D31" i="6"/>
  <c r="D70" i="6"/>
  <c r="D24" i="6"/>
  <c r="D109" i="6"/>
  <c r="D93" i="6"/>
  <c r="D127" i="6"/>
  <c r="D20" i="6"/>
  <c r="D123" i="6"/>
  <c r="D38" i="6"/>
  <c r="D91" i="6"/>
  <c r="D138" i="6"/>
  <c r="D116" i="6"/>
  <c r="D115" i="6"/>
  <c r="D44" i="6"/>
  <c r="D135" i="6"/>
  <c r="D95" i="6"/>
  <c r="D121" i="6"/>
  <c r="D56" i="6"/>
  <c r="D63" i="6"/>
  <c r="D62" i="6"/>
  <c r="D17" i="6"/>
  <c r="D120" i="6"/>
  <c r="D43" i="6"/>
  <c r="D141" i="6"/>
  <c r="D119" i="6"/>
  <c r="D49" i="6"/>
  <c r="D112" i="6"/>
  <c r="D64" i="6"/>
  <c r="D106" i="6"/>
  <c r="D47" i="6"/>
  <c r="D11" i="6"/>
  <c r="D59" i="6"/>
  <c r="D42" i="6"/>
  <c r="D5" i="6"/>
  <c r="D76" i="6"/>
  <c r="D86" i="6"/>
  <c r="D137" i="6"/>
  <c r="D69" i="6"/>
  <c r="D139" i="6"/>
  <c r="D19" i="6"/>
  <c r="D124" i="6"/>
  <c r="D29" i="6"/>
  <c r="D134" i="6"/>
  <c r="G50" i="6"/>
  <c r="G122" i="6"/>
  <c r="G16" i="6"/>
  <c r="G142" i="6"/>
  <c r="G136" i="6"/>
  <c r="G87" i="6"/>
  <c r="G151" i="6"/>
  <c r="G100" i="6"/>
  <c r="G51" i="6"/>
  <c r="G28" i="6"/>
  <c r="G88" i="6"/>
  <c r="G15" i="6"/>
  <c r="G105" i="6"/>
  <c r="G94" i="6"/>
  <c r="G84" i="6"/>
  <c r="G145" i="6"/>
  <c r="G14" i="6"/>
  <c r="G40" i="6"/>
  <c r="G58" i="6"/>
  <c r="G23" i="6"/>
  <c r="G48" i="6"/>
  <c r="G104" i="6"/>
  <c r="G131" i="6"/>
  <c r="G21" i="6"/>
  <c r="G125" i="6"/>
  <c r="G144" i="6"/>
  <c r="G81" i="6"/>
  <c r="G129" i="6"/>
  <c r="G57" i="6"/>
  <c r="G7" i="6"/>
  <c r="G8" i="6"/>
  <c r="G147" i="6"/>
  <c r="G77" i="6"/>
  <c r="G117" i="6"/>
  <c r="G41" i="6"/>
  <c r="G9" i="6"/>
  <c r="G130" i="6"/>
  <c r="G126" i="6"/>
  <c r="G89" i="6"/>
  <c r="G45" i="6"/>
  <c r="G55" i="6"/>
  <c r="G90" i="6"/>
  <c r="G72" i="6"/>
  <c r="G80" i="6"/>
  <c r="G22" i="6"/>
  <c r="G26" i="6"/>
  <c r="G79" i="6"/>
  <c r="G111" i="6"/>
  <c r="G32" i="6"/>
  <c r="G92" i="6"/>
  <c r="G118" i="6"/>
  <c r="G25" i="6"/>
  <c r="G82" i="6"/>
  <c r="G68" i="6"/>
  <c r="G101" i="6"/>
  <c r="G143" i="6"/>
  <c r="G99" i="6"/>
  <c r="G54" i="6"/>
  <c r="G150" i="6"/>
  <c r="G149" i="6"/>
  <c r="G97" i="6"/>
  <c r="G35" i="6"/>
  <c r="G4" i="6"/>
  <c r="G37" i="6"/>
  <c r="G133" i="6"/>
  <c r="G30" i="6"/>
  <c r="G36" i="6"/>
  <c r="G74" i="6"/>
  <c r="G108" i="6"/>
  <c r="G46" i="6"/>
  <c r="G6" i="6"/>
  <c r="G61" i="6"/>
  <c r="G132" i="6"/>
  <c r="G10" i="6"/>
  <c r="G27" i="6"/>
  <c r="G73" i="6"/>
  <c r="G33" i="6"/>
  <c r="G113" i="6"/>
  <c r="G75" i="6"/>
  <c r="G13" i="6"/>
  <c r="G65" i="6"/>
  <c r="G146" i="6"/>
  <c r="G128" i="6"/>
  <c r="G102" i="6"/>
  <c r="G148" i="6"/>
  <c r="G96" i="6"/>
  <c r="G110" i="6"/>
  <c r="G83" i="6"/>
  <c r="G39" i="6"/>
  <c r="G66" i="6"/>
  <c r="G78" i="6"/>
  <c r="G12" i="6"/>
  <c r="G60" i="6"/>
  <c r="G52" i="6"/>
  <c r="G2" i="6"/>
  <c r="G67" i="6"/>
  <c r="G114" i="6"/>
  <c r="G98" i="6"/>
  <c r="G71" i="6"/>
  <c r="G3" i="6"/>
  <c r="G34" i="6"/>
  <c r="G140" i="6"/>
  <c r="G53" i="6"/>
  <c r="G85" i="6"/>
  <c r="G18" i="6"/>
  <c r="G103" i="6"/>
  <c r="G107" i="6"/>
  <c r="G31" i="6"/>
  <c r="G70" i="6"/>
  <c r="G24" i="6"/>
  <c r="G109" i="6"/>
  <c r="G93" i="6"/>
  <c r="G127" i="6"/>
  <c r="G20" i="6"/>
  <c r="G123" i="6"/>
  <c r="G38" i="6"/>
  <c r="G91" i="6"/>
  <c r="G138" i="6"/>
  <c r="G116" i="6"/>
  <c r="G115" i="6"/>
  <c r="G44" i="6"/>
  <c r="G135" i="6"/>
  <c r="G95" i="6"/>
  <c r="G121" i="6"/>
  <c r="G56" i="6"/>
  <c r="G63" i="6"/>
  <c r="G62" i="6"/>
  <c r="G17" i="6"/>
  <c r="G120" i="6"/>
  <c r="G43" i="6"/>
  <c r="G141" i="6"/>
  <c r="G119" i="6"/>
  <c r="G49" i="6"/>
  <c r="G112" i="6"/>
  <c r="G64" i="6"/>
  <c r="G106" i="6"/>
  <c r="G47" i="6"/>
  <c r="G11" i="6"/>
  <c r="G59" i="6"/>
  <c r="G42" i="6"/>
  <c r="G5" i="6"/>
  <c r="G76" i="6"/>
  <c r="G86" i="6"/>
  <c r="G137" i="6"/>
  <c r="G69" i="6"/>
  <c r="G139" i="6"/>
  <c r="G19" i="6"/>
  <c r="G124" i="6"/>
  <c r="G29" i="6"/>
  <c r="G134" i="6"/>
  <c r="K50" i="6" a="1"/>
  <c r="K50" i="6" s="1"/>
  <c r="L50" i="6" s="1" a="1"/>
  <c r="L50" i="6" s="1"/>
  <c r="M50" i="6" s="1"/>
  <c r="N50" i="6" s="1"/>
  <c r="K122" i="6" a="1"/>
  <c r="K122" i="6" s="1"/>
  <c r="K16" i="6" a="1"/>
  <c r="K16" i="6" s="1"/>
  <c r="L16" i="6" s="1" a="1"/>
  <c r="L16" i="6" s="1"/>
  <c r="M16" i="6" s="1"/>
  <c r="N16" i="6" s="1"/>
  <c r="K142" i="6" a="1"/>
  <c r="K142" i="6" s="1"/>
  <c r="L142" i="6" s="1" a="1"/>
  <c r="L142" i="6" s="1"/>
  <c r="K136" i="6" a="1"/>
  <c r="K136" i="6" s="1"/>
  <c r="L136" i="6" s="1" a="1"/>
  <c r="L136" i="6" s="1"/>
  <c r="M136" i="6" s="1"/>
  <c r="N136" i="6" s="1"/>
  <c r="K87" i="6" a="1"/>
  <c r="K87" i="6" s="1"/>
  <c r="L87" i="6" s="1" a="1"/>
  <c r="L87" i="6" s="1"/>
  <c r="M87" i="6" s="1"/>
  <c r="N87" i="6" s="1"/>
  <c r="K151" i="6" a="1"/>
  <c r="K151" i="6" s="1"/>
  <c r="L151" i="6" s="1" a="1"/>
  <c r="K100" i="6" a="1"/>
  <c r="K100" i="6" s="1"/>
  <c r="L100" i="6" s="1" a="1"/>
  <c r="L100" i="6" s="1"/>
  <c r="K51" i="6" a="1"/>
  <c r="K51" i="6"/>
  <c r="L51" i="6" s="1" a="1"/>
  <c r="L51" i="6" s="1"/>
  <c r="M51" i="6" s="1"/>
  <c r="N51" i="6" s="1"/>
  <c r="K28" i="6" a="1"/>
  <c r="K28" i="6" s="1"/>
  <c r="L28" i="6" s="1" a="1"/>
  <c r="L28" i="6" s="1"/>
  <c r="M28" i="6" s="1"/>
  <c r="N28" i="6" s="1"/>
  <c r="K88" i="6" a="1"/>
  <c r="K88" i="6" s="1"/>
  <c r="L88" i="6" s="1" a="1"/>
  <c r="K15" i="6" a="1"/>
  <c r="K15" i="6" s="1"/>
  <c r="L15" i="6" s="1" a="1"/>
  <c r="L15" i="6" s="1"/>
  <c r="M15" i="6" s="1"/>
  <c r="N15" i="6" s="1"/>
  <c r="K105" i="6" a="1"/>
  <c r="K105" i="6" s="1"/>
  <c r="L105" i="6" s="1" a="1"/>
  <c r="L105" i="6" s="1"/>
  <c r="M105" i="6" s="1"/>
  <c r="N105" i="6" s="1"/>
  <c r="K94" i="6" a="1"/>
  <c r="K94" i="6" s="1"/>
  <c r="L94" i="6" s="1" a="1"/>
  <c r="L94" i="6" s="1"/>
  <c r="M94" i="6" s="1"/>
  <c r="N94" i="6" s="1"/>
  <c r="K84" i="6" a="1"/>
  <c r="K84" i="6" s="1"/>
  <c r="L84" i="6" s="1" a="1"/>
  <c r="L84" i="6" s="1"/>
  <c r="M84" i="6" s="1"/>
  <c r="N84" i="6" s="1"/>
  <c r="K145" i="6" a="1"/>
  <c r="K145" i="6" s="1"/>
  <c r="L145" i="6" s="1" a="1"/>
  <c r="L145" i="6" s="1"/>
  <c r="M145" i="6" s="1"/>
  <c r="N145" i="6" s="1"/>
  <c r="K14" i="6" a="1"/>
  <c r="K14" i="6" s="1"/>
  <c r="L14" i="6" s="1" a="1"/>
  <c r="L14" i="6" s="1"/>
  <c r="M14" i="6" s="1"/>
  <c r="N14" i="6" s="1"/>
  <c r="K40" i="6" a="1"/>
  <c r="K40" i="6" s="1"/>
  <c r="K58" i="6" a="1"/>
  <c r="K58" i="6" s="1"/>
  <c r="L58" i="6" s="1" a="1"/>
  <c r="L58" i="6" s="1"/>
  <c r="M58" i="6" s="1"/>
  <c r="N58" i="6" s="1"/>
  <c r="K23" i="6" a="1"/>
  <c r="K23" i="6" s="1"/>
  <c r="L23" i="6" s="1" a="1"/>
  <c r="L23" i="6" s="1"/>
  <c r="K48" i="6" a="1"/>
  <c r="K48" i="6"/>
  <c r="L48" i="6" s="1" a="1"/>
  <c r="L48" i="6" s="1"/>
  <c r="M48" i="6" s="1"/>
  <c r="N48" i="6" s="1"/>
  <c r="K104" i="6" a="1"/>
  <c r="K104" i="6" s="1"/>
  <c r="L104" i="6" s="1" a="1"/>
  <c r="L104" i="6" s="1"/>
  <c r="M104" i="6" s="1"/>
  <c r="N104" i="6" s="1"/>
  <c r="K131" i="6" a="1"/>
  <c r="K131" i="6" s="1"/>
  <c r="K21" i="6" a="1"/>
  <c r="K21" i="6" s="1"/>
  <c r="K125" i="6" a="1"/>
  <c r="K125" i="6" s="1"/>
  <c r="L125" i="6" s="1" a="1"/>
  <c r="L125" i="6" s="1"/>
  <c r="M125" i="6" s="1"/>
  <c r="N125" i="6" s="1"/>
  <c r="K144" i="6" a="1"/>
  <c r="K144" i="6" s="1"/>
  <c r="K81" i="6" a="1"/>
  <c r="K81" i="6" s="1"/>
  <c r="K129" i="6" a="1"/>
  <c r="K129" i="6" s="1"/>
  <c r="L129" i="6" s="1" a="1"/>
  <c r="L129" i="6" s="1"/>
  <c r="M129" i="6" s="1"/>
  <c r="N129" i="6" s="1"/>
  <c r="K57" i="6" a="1"/>
  <c r="K57" i="6" s="1"/>
  <c r="L57" i="6" s="1" a="1"/>
  <c r="L57" i="6" s="1"/>
  <c r="M57" i="6" s="1"/>
  <c r="N57" i="6" s="1"/>
  <c r="K7" i="6" a="1"/>
  <c r="K7" i="6" s="1"/>
  <c r="K8" i="6" a="1"/>
  <c r="K8" i="6" s="1"/>
  <c r="L8" i="6" s="1" a="1"/>
  <c r="L8" i="6" s="1"/>
  <c r="M8" i="6" s="1"/>
  <c r="N8" i="6" s="1"/>
  <c r="K147" i="6" a="1"/>
  <c r="K147" i="6" s="1"/>
  <c r="L147" i="6" s="1" a="1"/>
  <c r="L147" i="6" s="1"/>
  <c r="M147" i="6" s="1"/>
  <c r="N147" i="6" s="1"/>
  <c r="K77" i="6" a="1"/>
  <c r="K77" i="6" s="1"/>
  <c r="L77" i="6" s="1" a="1"/>
  <c r="L77" i="6" s="1"/>
  <c r="M77" i="6" s="1"/>
  <c r="N77" i="6" s="1"/>
  <c r="K117" i="6" a="1"/>
  <c r="K117" i="6" s="1"/>
  <c r="K41" i="6" a="1"/>
  <c r="K41" i="6" s="1"/>
  <c r="L41" i="6" s="1" a="1"/>
  <c r="L41" i="6" s="1"/>
  <c r="M41" i="6" s="1"/>
  <c r="N41" i="6" s="1"/>
  <c r="K9" i="6" a="1"/>
  <c r="K9" i="6" s="1"/>
  <c r="L9" i="6" s="1" a="1"/>
  <c r="L9" i="6" s="1"/>
  <c r="M9" i="6" s="1"/>
  <c r="N9" i="6" s="1"/>
  <c r="K130" i="6" a="1"/>
  <c r="K130" i="6" s="1"/>
  <c r="L130" i="6" s="1" a="1"/>
  <c r="L130" i="6" s="1"/>
  <c r="M130" i="6" s="1"/>
  <c r="N130" i="6" s="1"/>
  <c r="K126" i="6" a="1"/>
  <c r="K126" i="6" s="1"/>
  <c r="L126" i="6" s="1" a="1"/>
  <c r="L126" i="6" s="1"/>
  <c r="M126" i="6" s="1"/>
  <c r="N126" i="6" s="1"/>
  <c r="K89" i="6" a="1"/>
  <c r="K89" i="6" s="1"/>
  <c r="L89" i="6" s="1" a="1"/>
  <c r="L89" i="6" s="1"/>
  <c r="M89" i="6" s="1"/>
  <c r="N89" i="6" s="1"/>
  <c r="K45" i="6" a="1"/>
  <c r="K45" i="6" s="1"/>
  <c r="K55" i="6" a="1"/>
  <c r="K55" i="6"/>
  <c r="K90" i="6" a="1"/>
  <c r="K90" i="6" s="1"/>
  <c r="L90" i="6" s="1" a="1"/>
  <c r="L90" i="6" s="1"/>
  <c r="M90" i="6" s="1"/>
  <c r="N90" i="6" s="1"/>
  <c r="K72" i="6" a="1"/>
  <c r="K72" i="6" s="1"/>
  <c r="K80" i="6" a="1"/>
  <c r="K80" i="6" s="1"/>
  <c r="K22" i="6" a="1"/>
  <c r="K22" i="6" s="1"/>
  <c r="L22" i="6" s="1" a="1"/>
  <c r="L22" i="6" s="1"/>
  <c r="M22" i="6" s="1"/>
  <c r="N22" i="6" s="1"/>
  <c r="K26" i="6" a="1"/>
  <c r="K26" i="6" s="1"/>
  <c r="K79" i="6" a="1"/>
  <c r="K79" i="6" s="1"/>
  <c r="L79" i="6" s="1" a="1"/>
  <c r="L79" i="6" s="1"/>
  <c r="M79" i="6" s="1"/>
  <c r="N79" i="6" s="1"/>
  <c r="K111" i="6" a="1"/>
  <c r="K111" i="6" s="1"/>
  <c r="L111" i="6" s="1" a="1"/>
  <c r="L111" i="6" s="1"/>
  <c r="M111" i="6" s="1"/>
  <c r="N111" i="6" s="1"/>
  <c r="K32" i="6" a="1"/>
  <c r="K32" i="6" s="1"/>
  <c r="L32" i="6" s="1" a="1"/>
  <c r="L32" i="6" s="1"/>
  <c r="M32" i="6" s="1"/>
  <c r="N32" i="6" s="1"/>
  <c r="K92" i="6" a="1"/>
  <c r="K92" i="6" s="1"/>
  <c r="L92" i="6" s="1" a="1"/>
  <c r="L92" i="6" s="1"/>
  <c r="M92" i="6" s="1"/>
  <c r="N92" i="6" s="1"/>
  <c r="K118" i="6" a="1"/>
  <c r="K118" i="6" s="1"/>
  <c r="L118" i="6" s="1" a="1"/>
  <c r="L118" i="6" s="1"/>
  <c r="M118" i="6" s="1"/>
  <c r="N118" i="6" s="1"/>
  <c r="K25" i="6" a="1"/>
  <c r="K25" i="6" s="1"/>
  <c r="K82" i="6" a="1"/>
  <c r="K82" i="6"/>
  <c r="L82" i="6" s="1" a="1"/>
  <c r="L82" i="6" s="1"/>
  <c r="M82" i="6" s="1"/>
  <c r="N82" i="6" s="1"/>
  <c r="K68" i="6" a="1"/>
  <c r="K68" i="6" s="1"/>
  <c r="L68" i="6" s="1" a="1"/>
  <c r="L68" i="6" s="1"/>
  <c r="M68" i="6" s="1"/>
  <c r="N68" i="6" s="1"/>
  <c r="K101" i="6" a="1"/>
  <c r="K101" i="6" s="1"/>
  <c r="K143" i="6" a="1"/>
  <c r="K143" i="6" s="1"/>
  <c r="K99" i="6" a="1"/>
  <c r="K99" i="6" s="1"/>
  <c r="L99" i="6" s="1" a="1"/>
  <c r="L99" i="6" s="1"/>
  <c r="M99" i="6" s="1"/>
  <c r="N99" i="6" s="1"/>
  <c r="K54" i="6" a="1"/>
  <c r="K54" i="6" s="1"/>
  <c r="K150" i="6" a="1"/>
  <c r="K150" i="6" s="1"/>
  <c r="K149" i="6" a="1"/>
  <c r="K149" i="6" s="1"/>
  <c r="L149" i="6" s="1" a="1"/>
  <c r="L149" i="6" s="1"/>
  <c r="M149" i="6" s="1"/>
  <c r="N149" i="6" s="1"/>
  <c r="K97" i="6" a="1"/>
  <c r="K97" i="6" s="1"/>
  <c r="L97" i="6" s="1" a="1"/>
  <c r="L97" i="6" s="1"/>
  <c r="M97" i="6" s="1"/>
  <c r="N97" i="6" s="1"/>
  <c r="K35" i="6" a="1"/>
  <c r="K35" i="6" s="1"/>
  <c r="K4" i="6" a="1"/>
  <c r="K4" i="6" s="1"/>
  <c r="L4" i="6" s="1" a="1"/>
  <c r="L4" i="6" s="1"/>
  <c r="M4" i="6" s="1"/>
  <c r="N4" i="6" s="1"/>
  <c r="K37" i="6" a="1"/>
  <c r="K37" i="6" s="1"/>
  <c r="L37" i="6" s="1" a="1"/>
  <c r="L37" i="6" s="1"/>
  <c r="M37" i="6" s="1"/>
  <c r="N37" i="6" s="1"/>
  <c r="K133" i="6" a="1"/>
  <c r="K133" i="6" s="1"/>
  <c r="L133" i="6" s="1" a="1"/>
  <c r="L133" i="6" s="1"/>
  <c r="M133" i="6" s="1"/>
  <c r="N133" i="6" s="1"/>
  <c r="K30" i="6" a="1"/>
  <c r="K30" i="6" s="1"/>
  <c r="K36" i="6" a="1"/>
  <c r="K36" i="6" s="1"/>
  <c r="L36" i="6" s="1" a="1"/>
  <c r="L36" i="6" s="1"/>
  <c r="M36" i="6" s="1"/>
  <c r="N36" i="6" s="1"/>
  <c r="K74" i="6" a="1"/>
  <c r="K74" i="6" s="1"/>
  <c r="L74" i="6" s="1" a="1"/>
  <c r="L74" i="6" s="1"/>
  <c r="M74" i="6" s="1"/>
  <c r="N74" i="6" s="1"/>
  <c r="K108" i="6" a="1"/>
  <c r="K108" i="6" s="1"/>
  <c r="L108" i="6" s="1" a="1"/>
  <c r="L108" i="6" s="1"/>
  <c r="M108" i="6" s="1"/>
  <c r="N108" i="6" s="1"/>
  <c r="K46" i="6" a="1"/>
  <c r="K46" i="6" s="1"/>
  <c r="L46" i="6" s="1" a="1"/>
  <c r="L46" i="6" s="1"/>
  <c r="M46" i="6" s="1"/>
  <c r="N46" i="6" s="1"/>
  <c r="K6" i="6" a="1"/>
  <c r="K6" i="6" s="1"/>
  <c r="K61" i="6" a="1"/>
  <c r="K61" i="6" s="1"/>
  <c r="K132" i="6" a="1"/>
  <c r="K132" i="6"/>
  <c r="K10" i="6" a="1"/>
  <c r="K10" i="6" s="1"/>
  <c r="L10" i="6" s="1" a="1"/>
  <c r="L10" i="6" s="1"/>
  <c r="M10" i="6" s="1"/>
  <c r="N10" i="6" s="1"/>
  <c r="K27" i="6" a="1"/>
  <c r="K27" i="6" s="1"/>
  <c r="K73" i="6" a="1"/>
  <c r="K73" i="6" s="1"/>
  <c r="K33" i="6" a="1"/>
  <c r="K33" i="6" s="1"/>
  <c r="L33" i="6" s="1" a="1"/>
  <c r="L33" i="6" s="1"/>
  <c r="M33" i="6" s="1"/>
  <c r="N33" i="6" s="1"/>
  <c r="K113" i="6" a="1"/>
  <c r="K113" i="6" s="1"/>
  <c r="L113" i="6" s="1" a="1"/>
  <c r="L113" i="6" s="1"/>
  <c r="M113" i="6" s="1"/>
  <c r="N113" i="6" s="1"/>
  <c r="K75" i="6" a="1"/>
  <c r="K75" i="6" s="1"/>
  <c r="L75" i="6" s="1" a="1"/>
  <c r="L75" i="6" s="1"/>
  <c r="M75" i="6" s="1"/>
  <c r="N75" i="6" s="1"/>
  <c r="K13" i="6" a="1"/>
  <c r="K13" i="6" s="1"/>
  <c r="L13" i="6" s="1" a="1"/>
  <c r="L13" i="6" s="1"/>
  <c r="M13" i="6" s="1"/>
  <c r="N13" i="6" s="1"/>
  <c r="K65" i="6" a="1"/>
  <c r="K65" i="6" s="1"/>
  <c r="L65" i="6" s="1" a="1"/>
  <c r="L65" i="6" s="1"/>
  <c r="M65" i="6" s="1"/>
  <c r="N65" i="6" s="1"/>
  <c r="K146" i="6" a="1"/>
  <c r="K146" i="6" s="1"/>
  <c r="L146" i="6" s="1" a="1"/>
  <c r="L146" i="6" s="1"/>
  <c r="M146" i="6" s="1"/>
  <c r="N146" i="6" s="1"/>
  <c r="K128" i="6" a="1"/>
  <c r="K128" i="6" s="1"/>
  <c r="L128" i="6" s="1" a="1"/>
  <c r="L128" i="6" s="1"/>
  <c r="M128" i="6" s="1"/>
  <c r="N128" i="6" s="1"/>
  <c r="K102" i="6" a="1"/>
  <c r="K102" i="6" s="1"/>
  <c r="K148" i="6" a="1"/>
  <c r="K148" i="6"/>
  <c r="L148" i="6" s="1" a="1"/>
  <c r="L148" i="6" s="1"/>
  <c r="M148" i="6" s="1"/>
  <c r="N148" i="6" s="1"/>
  <c r="K96" i="6" a="1"/>
  <c r="K96" i="6" s="1"/>
  <c r="L96" i="6" s="1" a="1"/>
  <c r="L96" i="6" s="1"/>
  <c r="M96" i="6" s="1"/>
  <c r="N96" i="6" s="1"/>
  <c r="K110" i="6" a="1"/>
  <c r="K110" i="6" s="1"/>
  <c r="K83" i="6" a="1"/>
  <c r="K83" i="6" s="1"/>
  <c r="L83" i="6" s="1" a="1"/>
  <c r="L83" i="6" s="1"/>
  <c r="M83" i="6" s="1"/>
  <c r="N83" i="6" s="1"/>
  <c r="K39" i="6" a="1"/>
  <c r="K39" i="6" s="1"/>
  <c r="L39" i="6" s="1" a="1"/>
  <c r="L39" i="6" s="1"/>
  <c r="M39" i="6" s="1"/>
  <c r="N39" i="6" s="1"/>
  <c r="K66" i="6" a="1"/>
  <c r="K66" i="6" s="1"/>
  <c r="K78" i="6" a="1"/>
  <c r="K78" i="6" s="1"/>
  <c r="K12" i="6" a="1"/>
  <c r="K12" i="6" s="1"/>
  <c r="L12" i="6" s="1" a="1"/>
  <c r="L12" i="6" s="1"/>
  <c r="M12" i="6" s="1"/>
  <c r="N12" i="6" s="1"/>
  <c r="K60" i="6" a="1"/>
  <c r="K60" i="6" s="1"/>
  <c r="L60" i="6" s="1" a="1"/>
  <c r="L60" i="6" s="1"/>
  <c r="M60" i="6" s="1"/>
  <c r="N60" i="6" s="1"/>
  <c r="K52" i="6" a="1"/>
  <c r="K52" i="6" s="1"/>
  <c r="K2" i="6" a="1"/>
  <c r="K2" i="6" s="1"/>
  <c r="L2" i="6" s="1" a="1"/>
  <c r="L2" i="6" s="1"/>
  <c r="M2" i="6" s="1"/>
  <c r="N2" i="6" s="1"/>
  <c r="K67" i="6" a="1"/>
  <c r="K67" i="6" s="1"/>
  <c r="L67" i="6" s="1" a="1"/>
  <c r="L67" i="6" s="1"/>
  <c r="M67" i="6" s="1"/>
  <c r="N67" i="6" s="1"/>
  <c r="K114" i="6" a="1"/>
  <c r="K114" i="6" s="1"/>
  <c r="L114" i="6" s="1" a="1"/>
  <c r="L114" i="6" s="1"/>
  <c r="M114" i="6" s="1"/>
  <c r="N114" i="6" s="1"/>
  <c r="K98" i="6" a="1"/>
  <c r="K98" i="6" s="1"/>
  <c r="K71" i="6" a="1"/>
  <c r="K71" i="6" s="1"/>
  <c r="L71" i="6" s="1" a="1"/>
  <c r="L71" i="6" s="1"/>
  <c r="M71" i="6" s="1"/>
  <c r="N71" i="6" s="1"/>
  <c r="K3" i="6" a="1"/>
  <c r="K3" i="6" s="1"/>
  <c r="L3" i="6" s="1" a="1"/>
  <c r="L3" i="6" s="1"/>
  <c r="M3" i="6" s="1"/>
  <c r="N3" i="6" s="1"/>
  <c r="K34" i="6" a="1"/>
  <c r="K34" i="6" s="1"/>
  <c r="L34" i="6" s="1" a="1"/>
  <c r="L34" i="6" s="1"/>
  <c r="M34" i="6" s="1"/>
  <c r="N34" i="6" s="1"/>
  <c r="K140" i="6" a="1"/>
  <c r="K140" i="6" s="1"/>
  <c r="L140" i="6" s="1" a="1"/>
  <c r="L140" i="6" s="1"/>
  <c r="M140" i="6" s="1"/>
  <c r="N140" i="6" s="1"/>
  <c r="K53" i="6" a="1"/>
  <c r="K53" i="6" s="1"/>
  <c r="L53" i="6" s="1" a="1"/>
  <c r="L53" i="6" s="1"/>
  <c r="M53" i="6" s="1"/>
  <c r="N53" i="6" s="1"/>
  <c r="K85" i="6" a="1"/>
  <c r="K85" i="6" s="1"/>
  <c r="K18" i="6" a="1"/>
  <c r="K18" i="6"/>
  <c r="K103" i="6" a="1"/>
  <c r="K103" i="6" s="1"/>
  <c r="L103" i="6" s="1" a="1"/>
  <c r="L103" i="6" s="1"/>
  <c r="M103" i="6" s="1"/>
  <c r="N103" i="6" s="1"/>
  <c r="K107" i="6" a="1"/>
  <c r="K107" i="6" s="1"/>
  <c r="K31" i="6" a="1"/>
  <c r="K31" i="6" s="1"/>
  <c r="K70" i="6" a="1"/>
  <c r="K70" i="6" s="1"/>
  <c r="L70" i="6" s="1" a="1"/>
  <c r="L70" i="6" s="1"/>
  <c r="M70" i="6" s="1"/>
  <c r="N70" i="6" s="1"/>
  <c r="K24" i="6" a="1"/>
  <c r="K24" i="6" s="1"/>
  <c r="K109" i="6" a="1"/>
  <c r="K109" i="6" s="1"/>
  <c r="L109" i="6" s="1" a="1"/>
  <c r="L109" i="6" s="1"/>
  <c r="M109" i="6" s="1"/>
  <c r="N109" i="6" s="1"/>
  <c r="K93" i="6" a="1"/>
  <c r="K93" i="6" s="1"/>
  <c r="L93" i="6" s="1" a="1"/>
  <c r="L93" i="6" s="1"/>
  <c r="M93" i="6" s="1"/>
  <c r="N93" i="6" s="1"/>
  <c r="K127" i="6" a="1"/>
  <c r="K127" i="6" s="1"/>
  <c r="L127" i="6" s="1" a="1"/>
  <c r="L127" i="6" s="1"/>
  <c r="M127" i="6" s="1"/>
  <c r="N127" i="6" s="1"/>
  <c r="K20" i="6" a="1"/>
  <c r="K20" i="6" s="1"/>
  <c r="L20" i="6" s="1" a="1"/>
  <c r="L20" i="6" s="1"/>
  <c r="M20" i="6" s="1"/>
  <c r="N20" i="6" s="1"/>
  <c r="K123" i="6" a="1"/>
  <c r="K123" i="6" s="1"/>
  <c r="L123" i="6" s="1" a="1"/>
  <c r="L123" i="6" s="1"/>
  <c r="M123" i="6" s="1"/>
  <c r="N123" i="6" s="1"/>
  <c r="K38" i="6" a="1"/>
  <c r="K38" i="6" s="1"/>
  <c r="K91" i="6" a="1"/>
  <c r="K91" i="6"/>
  <c r="L91" i="6" s="1" a="1"/>
  <c r="L91" i="6" s="1"/>
  <c r="M91" i="6" s="1"/>
  <c r="N91" i="6" s="1"/>
  <c r="K138" i="6" a="1"/>
  <c r="K138" i="6" s="1"/>
  <c r="L138" i="6" s="1" a="1"/>
  <c r="L138" i="6" s="1"/>
  <c r="M138" i="6" s="1"/>
  <c r="N138" i="6" s="1"/>
  <c r="K116" i="6" a="1"/>
  <c r="K116" i="6" s="1"/>
  <c r="K115" i="6" a="1"/>
  <c r="K115" i="6" s="1"/>
  <c r="K44" i="6" a="1"/>
  <c r="K44" i="6" s="1"/>
  <c r="L44" i="6" s="1" a="1"/>
  <c r="L44" i="6" s="1"/>
  <c r="M44" i="6" s="1"/>
  <c r="N44" i="6" s="1"/>
  <c r="K135" i="6" a="1"/>
  <c r="K135" i="6" s="1"/>
  <c r="K95" i="6" a="1"/>
  <c r="K95" i="6" s="1"/>
  <c r="L95" i="6" s="1" a="1"/>
  <c r="L95" i="6" s="1"/>
  <c r="M95" i="6" s="1"/>
  <c r="N95" i="6" s="1"/>
  <c r="K121" i="6" a="1"/>
  <c r="K121" i="6" s="1"/>
  <c r="L121" i="6" s="1" a="1"/>
  <c r="L121" i="6" s="1"/>
  <c r="M121" i="6" s="1"/>
  <c r="N121" i="6" s="1"/>
  <c r="K56" i="6" a="1"/>
  <c r="K56" i="6" s="1"/>
  <c r="L56" i="6" s="1" a="1"/>
  <c r="L56" i="6" s="1"/>
  <c r="M56" i="6" s="1"/>
  <c r="N56" i="6" s="1"/>
  <c r="K63" i="6" a="1"/>
  <c r="K63" i="6" s="1"/>
  <c r="K62" i="6" a="1"/>
  <c r="K62" i="6" s="1"/>
  <c r="L62" i="6" s="1" a="1"/>
  <c r="L62" i="6" s="1"/>
  <c r="M62" i="6" s="1"/>
  <c r="N62" i="6" s="1"/>
  <c r="K17" i="6" a="1"/>
  <c r="K17" i="6" s="1"/>
  <c r="L17" i="6" s="1" a="1"/>
  <c r="L17" i="6" s="1"/>
  <c r="M17" i="6" s="1"/>
  <c r="N17" i="6" s="1"/>
  <c r="K120" i="6" a="1"/>
  <c r="K120" i="6" s="1"/>
  <c r="L120" i="6" s="1" a="1"/>
  <c r="L120" i="6" s="1"/>
  <c r="M120" i="6" s="1"/>
  <c r="N120" i="6" s="1"/>
  <c r="K43" i="6" a="1"/>
  <c r="K43" i="6" s="1"/>
  <c r="K141" i="6" a="1"/>
  <c r="K141" i="6" s="1"/>
  <c r="L141" i="6" s="1" a="1"/>
  <c r="L141" i="6" s="1"/>
  <c r="M141" i="6" s="1"/>
  <c r="N141" i="6" s="1"/>
  <c r="K119" i="6" a="1"/>
  <c r="K119" i="6" s="1"/>
  <c r="L119" i="6" s="1" a="1"/>
  <c r="L119" i="6" s="1"/>
  <c r="M119" i="6" s="1"/>
  <c r="N119" i="6" s="1"/>
  <c r="K49" i="6" a="1"/>
  <c r="K49" i="6" s="1"/>
  <c r="L49" i="6" s="1" a="1"/>
  <c r="L49" i="6" s="1"/>
  <c r="M49" i="6" s="1"/>
  <c r="N49" i="6" s="1"/>
  <c r="K112" i="6" a="1"/>
  <c r="K112" i="6" s="1"/>
  <c r="L112" i="6" s="1" a="1"/>
  <c r="L112" i="6" s="1"/>
  <c r="M112" i="6" s="1"/>
  <c r="N112" i="6" s="1"/>
  <c r="K64" i="6" a="1"/>
  <c r="K64" i="6" s="1"/>
  <c r="K106" i="6" a="1"/>
  <c r="K106" i="6" s="1"/>
  <c r="K47" i="6" a="1"/>
  <c r="K47" i="6"/>
  <c r="L47" i="6" s="1" a="1"/>
  <c r="L47" i="6" s="1"/>
  <c r="M47" i="6" s="1"/>
  <c r="N47" i="6" s="1"/>
  <c r="K11" i="6" a="1"/>
  <c r="K11" i="6" s="1"/>
  <c r="L11" i="6" s="1" a="1"/>
  <c r="L11" i="6" s="1"/>
  <c r="M11" i="6" s="1"/>
  <c r="N11" i="6" s="1"/>
  <c r="K59" i="6" a="1"/>
  <c r="K59" i="6" s="1"/>
  <c r="K42" i="6" a="1"/>
  <c r="K42" i="6" s="1"/>
  <c r="L42" i="6" s="1" a="1"/>
  <c r="L42" i="6" s="1"/>
  <c r="M42" i="6" s="1"/>
  <c r="N42" i="6" s="1"/>
  <c r="K5" i="6" a="1"/>
  <c r="K5" i="6" s="1"/>
  <c r="L5" i="6" s="1" a="1"/>
  <c r="L5" i="6" s="1"/>
  <c r="M5" i="6" s="1"/>
  <c r="N5" i="6" s="1"/>
  <c r="K76" i="6" a="1"/>
  <c r="K76" i="6" s="1"/>
  <c r="L76" i="6" s="1" a="1"/>
  <c r="L76" i="6" s="1"/>
  <c r="M76" i="6" s="1"/>
  <c r="N76" i="6" s="1"/>
  <c r="K86" i="6" a="1"/>
  <c r="K86" i="6" s="1"/>
  <c r="L86" i="6" s="1" a="1"/>
  <c r="L86" i="6" s="1"/>
  <c r="M86" i="6" s="1"/>
  <c r="N86" i="6" s="1"/>
  <c r="K137" i="6" a="1"/>
  <c r="K137" i="6" s="1"/>
  <c r="K69" i="6" a="1"/>
  <c r="K69" i="6" s="1"/>
  <c r="L69" i="6" s="1" a="1"/>
  <c r="L69" i="6" s="1"/>
  <c r="M69" i="6" s="1"/>
  <c r="N69" i="6" s="1"/>
  <c r="K139" i="6" a="1"/>
  <c r="K139" i="6" s="1"/>
  <c r="L139" i="6" s="1" a="1"/>
  <c r="L139" i="6" s="1"/>
  <c r="M139" i="6" s="1"/>
  <c r="N139" i="6" s="1"/>
  <c r="K19" i="6" a="1"/>
  <c r="K19" i="6" s="1"/>
  <c r="L19" i="6" s="1" a="1"/>
  <c r="L19" i="6" s="1"/>
  <c r="M19" i="6" s="1"/>
  <c r="N19" i="6" s="1"/>
  <c r="K124" i="6" a="1"/>
  <c r="K124" i="6" s="1"/>
  <c r="K29" i="6" a="1"/>
  <c r="K29" i="6"/>
  <c r="L29" i="6" s="1" a="1"/>
  <c r="L29" i="6" s="1"/>
  <c r="M29" i="6" s="1"/>
  <c r="N29" i="6" s="1"/>
  <c r="K134" i="6" a="1"/>
  <c r="K134" i="6" s="1"/>
  <c r="L134" i="6" s="1" a="1"/>
  <c r="L134" i="6" s="1"/>
  <c r="M134" i="6" s="1"/>
  <c r="N134" i="6" s="1"/>
  <c r="L122" i="6" a="1"/>
  <c r="L122" i="6" s="1"/>
  <c r="L151" i="6"/>
  <c r="M151" i="6" s="1"/>
  <c r="N151" i="6" s="1"/>
  <c r="L88" i="6"/>
  <c r="L40" i="6" a="1"/>
  <c r="L40" i="6" s="1"/>
  <c r="L131" i="6" a="1"/>
  <c r="L131" i="6" s="1"/>
  <c r="M131" i="6" s="1"/>
  <c r="N131" i="6" s="1"/>
  <c r="L21" i="6" a="1"/>
  <c r="L21" i="6" s="1"/>
  <c r="M21" i="6" s="1"/>
  <c r="N21" i="6" s="1"/>
  <c r="L144" i="6" a="1"/>
  <c r="L144" i="6" s="1"/>
  <c r="M144" i="6" s="1"/>
  <c r="N144" i="6" s="1"/>
  <c r="L81" i="6" a="1"/>
  <c r="L81" i="6" s="1"/>
  <c r="M81" i="6" s="1"/>
  <c r="N81" i="6" s="1"/>
  <c r="L7" i="6" a="1"/>
  <c r="L7" i="6" s="1"/>
  <c r="L117" i="6" a="1"/>
  <c r="L117" i="6" s="1"/>
  <c r="L45" i="6" a="1"/>
  <c r="L45" i="6" s="1"/>
  <c r="M45" i="6" s="1"/>
  <c r="N45" i="6" s="1"/>
  <c r="L55" i="6" a="1"/>
  <c r="L55" i="6" s="1"/>
  <c r="M55" i="6" s="1"/>
  <c r="N55" i="6" s="1"/>
  <c r="L72" i="6" a="1"/>
  <c r="L72" i="6" s="1"/>
  <c r="L80" i="6" a="1"/>
  <c r="L80" i="6" s="1"/>
  <c r="M80" i="6" s="1"/>
  <c r="N80" i="6" s="1"/>
  <c r="L26" i="6" a="1"/>
  <c r="L26" i="6" s="1"/>
  <c r="L25" i="6" a="1"/>
  <c r="L25" i="6" s="1"/>
  <c r="M25" i="6" s="1"/>
  <c r="N25" i="6" s="1"/>
  <c r="L101" i="6" a="1"/>
  <c r="L101" i="6" s="1"/>
  <c r="M101" i="6" s="1"/>
  <c r="N101" i="6" s="1"/>
  <c r="L143" i="6" a="1"/>
  <c r="L143" i="6" s="1"/>
  <c r="M143" i="6" s="1"/>
  <c r="N143" i="6" s="1"/>
  <c r="L54" i="6" a="1"/>
  <c r="L54" i="6" s="1"/>
  <c r="M54" i="6" s="1"/>
  <c r="N54" i="6" s="1"/>
  <c r="L150" i="6" a="1"/>
  <c r="L150" i="6" s="1"/>
  <c r="M150" i="6" s="1"/>
  <c r="N150" i="6" s="1"/>
  <c r="L35" i="6" a="1"/>
  <c r="L35" i="6" s="1"/>
  <c r="M35" i="6" s="1"/>
  <c r="N35" i="6" s="1"/>
  <c r="L30" i="6" a="1"/>
  <c r="L30" i="6" s="1"/>
  <c r="L6" i="6" a="1"/>
  <c r="L6" i="6" s="1"/>
  <c r="L61" i="6" a="1"/>
  <c r="L61" i="6" s="1"/>
  <c r="M61" i="6" s="1"/>
  <c r="N61" i="6" s="1"/>
  <c r="L132" i="6" a="1"/>
  <c r="L132" i="6" s="1"/>
  <c r="M132" i="6" s="1"/>
  <c r="N132" i="6" s="1"/>
  <c r="L27" i="6" a="1"/>
  <c r="L27" i="6" s="1"/>
  <c r="M27" i="6" s="1"/>
  <c r="N27" i="6" s="1"/>
  <c r="L73" i="6" a="1"/>
  <c r="L73" i="6" s="1"/>
  <c r="M73" i="6" s="1"/>
  <c r="N73" i="6" s="1"/>
  <c r="L102" i="6" a="1"/>
  <c r="L102" i="6" s="1"/>
  <c r="M102" i="6" s="1"/>
  <c r="N102" i="6" s="1"/>
  <c r="L110" i="6" a="1"/>
  <c r="L110" i="6" s="1"/>
  <c r="L66" i="6" a="1"/>
  <c r="L66" i="6" s="1"/>
  <c r="M66" i="6" s="1"/>
  <c r="N66" i="6" s="1"/>
  <c r="L78" i="6" a="1"/>
  <c r="L78" i="6" s="1"/>
  <c r="M78" i="6" s="1"/>
  <c r="N78" i="6" s="1"/>
  <c r="L52" i="6" a="1"/>
  <c r="L52" i="6" s="1"/>
  <c r="M52" i="6" s="1"/>
  <c r="N52" i="6" s="1"/>
  <c r="L98" i="6" a="1"/>
  <c r="L98" i="6" s="1"/>
  <c r="M98" i="6" s="1"/>
  <c r="N98" i="6" s="1"/>
  <c r="L85" i="6" a="1"/>
  <c r="L85" i="6" s="1"/>
  <c r="M85" i="6" s="1"/>
  <c r="N85" i="6" s="1"/>
  <c r="L18" i="6" a="1"/>
  <c r="L18" i="6" s="1"/>
  <c r="M18" i="6" s="1"/>
  <c r="N18" i="6" s="1"/>
  <c r="L107" i="6" a="1"/>
  <c r="L107" i="6" s="1"/>
  <c r="L31" i="6" a="1"/>
  <c r="L31" i="6" s="1"/>
  <c r="M31" i="6" s="1"/>
  <c r="N31" i="6" s="1"/>
  <c r="L24" i="6" a="1"/>
  <c r="L24" i="6" s="1"/>
  <c r="M24" i="6" s="1"/>
  <c r="N24" i="6" s="1"/>
  <c r="L38" i="6" a="1"/>
  <c r="L38" i="6" s="1"/>
  <c r="M38" i="6" s="1"/>
  <c r="N38" i="6" s="1"/>
  <c r="L116" i="6" a="1"/>
  <c r="L116" i="6" s="1"/>
  <c r="M116" i="6" s="1"/>
  <c r="N116" i="6" s="1"/>
  <c r="L115" i="6" a="1"/>
  <c r="L115" i="6" s="1"/>
  <c r="M115" i="6" s="1"/>
  <c r="N115" i="6" s="1"/>
  <c r="L135" i="6" a="1"/>
  <c r="L135" i="6" s="1"/>
  <c r="M135" i="6" s="1"/>
  <c r="N135" i="6" s="1"/>
  <c r="L63" i="6" a="1"/>
  <c r="L63" i="6" s="1"/>
  <c r="M63" i="6" s="1"/>
  <c r="N63" i="6" s="1"/>
  <c r="L43" i="6" a="1"/>
  <c r="L43" i="6" s="1"/>
  <c r="L64" i="6" a="1"/>
  <c r="L64" i="6" s="1"/>
  <c r="L106" i="6" a="1"/>
  <c r="L106" i="6" s="1"/>
  <c r="M106" i="6" s="1"/>
  <c r="N106" i="6" s="1"/>
  <c r="L59" i="6" a="1"/>
  <c r="L59" i="6" s="1"/>
  <c r="M59" i="6" s="1"/>
  <c r="N59" i="6" s="1"/>
  <c r="L137" i="6" a="1"/>
  <c r="L137" i="6" s="1"/>
  <c r="M137" i="6" s="1"/>
  <c r="N137" i="6" s="1"/>
  <c r="L124" i="6" a="1"/>
  <c r="L124" i="6" s="1"/>
  <c r="M124" i="6" s="1"/>
  <c r="N124" i="6" s="1"/>
  <c r="M122" i="6"/>
  <c r="N122" i="6" s="1"/>
  <c r="M142" i="6"/>
  <c r="N142" i="6" s="1"/>
  <c r="M100" i="6"/>
  <c r="M88" i="6"/>
  <c r="N88" i="6" s="1"/>
  <c r="M40" i="6"/>
  <c r="N40" i="6" s="1"/>
  <c r="M23" i="6"/>
  <c r="M7" i="6"/>
  <c r="N7" i="6" s="1"/>
  <c r="M117" i="6"/>
  <c r="N117" i="6" s="1"/>
  <c r="M72" i="6"/>
  <c r="M26" i="6"/>
  <c r="N26" i="6" s="1"/>
  <c r="M30" i="6"/>
  <c r="N30" i="6" s="1"/>
  <c r="M6" i="6"/>
  <c r="N6" i="6" s="1"/>
  <c r="M110" i="6"/>
  <c r="M107" i="6"/>
  <c r="N107" i="6" s="1"/>
  <c r="M43" i="6"/>
  <c r="N43" i="6" s="1"/>
  <c r="M64" i="6"/>
  <c r="N100" i="6"/>
  <c r="N23" i="6"/>
  <c r="N72" i="6"/>
  <c r="N110" i="6"/>
  <c r="N64" i="6"/>
  <c r="H157" i="6"/>
  <c r="W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61F4AF-BB2C-4945-AEBB-7A5C8713194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<sst xmlns="http://schemas.openxmlformats.org/spreadsheetml/2006/main" count="1547" uniqueCount="444">
  <si>
    <t>Dept Code</t>
  </si>
  <si>
    <t>Hire Date</t>
  </si>
  <si>
    <t>Salary</t>
  </si>
  <si>
    <t>Employment Status</t>
  </si>
  <si>
    <t>EMP127</t>
  </si>
  <si>
    <t>IT02</t>
  </si>
  <si>
    <t>EMP046</t>
  </si>
  <si>
    <t>MKT04</t>
  </si>
  <si>
    <t>EMP134</t>
  </si>
  <si>
    <t>$114,425</t>
  </si>
  <si>
    <t>EMP139</t>
  </si>
  <si>
    <t>FIN03</t>
  </si>
  <si>
    <t>EMP112</t>
  </si>
  <si>
    <t>Left</t>
  </si>
  <si>
    <t>EMP030</t>
  </si>
  <si>
    <t>OPS06</t>
  </si>
  <si>
    <t>EMP096</t>
  </si>
  <si>
    <t>EMP098</t>
  </si>
  <si>
    <t>EMP095</t>
  </si>
  <si>
    <t>EMP140</t>
  </si>
  <si>
    <t>SAL05</t>
  </si>
  <si>
    <t>Active</t>
  </si>
  <si>
    <t>EMP020</t>
  </si>
  <si>
    <t>$118,635</t>
  </si>
  <si>
    <t>EMP057</t>
  </si>
  <si>
    <t>EMP016</t>
  </si>
  <si>
    <t>EMP070</t>
  </si>
  <si>
    <t>EMP025</t>
  </si>
  <si>
    <t>EMP031</t>
  </si>
  <si>
    <t>EMP126</t>
  </si>
  <si>
    <t>EMP109</t>
  </si>
  <si>
    <t>EMP066</t>
  </si>
  <si>
    <t>EMP120</t>
  </si>
  <si>
    <t>EMP019</t>
  </si>
  <si>
    <t>EMP013</t>
  </si>
  <si>
    <t>EMP010</t>
  </si>
  <si>
    <t>EMP032</t>
  </si>
  <si>
    <t>EMP082</t>
  </si>
  <si>
    <t>EMP052</t>
  </si>
  <si>
    <t>EMP129</t>
  </si>
  <si>
    <t>$77,610</t>
  </si>
  <si>
    <t>EMP146</t>
  </si>
  <si>
    <t>$50,873</t>
  </si>
  <si>
    <t>EMP099</t>
  </si>
  <si>
    <t>EMP015</t>
  </si>
  <si>
    <t>EMP076</t>
  </si>
  <si>
    <t>EMP137</t>
  </si>
  <si>
    <t>EMP056</t>
  </si>
  <si>
    <t>EMP125</t>
  </si>
  <si>
    <t>HR01</t>
  </si>
  <si>
    <t>EMP085</t>
  </si>
  <si>
    <t>EMP106</t>
  </si>
  <si>
    <t>EMP043</t>
  </si>
  <si>
    <t>EMP068</t>
  </si>
  <si>
    <t>EMP128</t>
  </si>
  <si>
    <t>EMP027</t>
  </si>
  <si>
    <t>EMP136</t>
  </si>
  <si>
    <t>EMP079</t>
  </si>
  <si>
    <t>EMP149</t>
  </si>
  <si>
    <t>$66,606</t>
  </si>
  <si>
    <t>Resigned</t>
  </si>
  <si>
    <t>EMP037</t>
  </si>
  <si>
    <t>EMP077</t>
  </si>
  <si>
    <t>EMP023</t>
  </si>
  <si>
    <t>EMP133</t>
  </si>
  <si>
    <t>EMP141</t>
  </si>
  <si>
    <t>EMP012</t>
  </si>
  <si>
    <t>EMP080</t>
  </si>
  <si>
    <t>$75,023</t>
  </si>
  <si>
    <t>EMP069</t>
  </si>
  <si>
    <t>EMP150</t>
  </si>
  <si>
    <t>EMP028</t>
  </si>
  <si>
    <t>EMP087</t>
  </si>
  <si>
    <t>EMP119</t>
  </si>
  <si>
    <t>EMP042</t>
  </si>
  <si>
    <t>EMP005</t>
  </si>
  <si>
    <t>EMP033</t>
  </si>
  <si>
    <t>EMP061</t>
  </si>
  <si>
    <t>EMP102</t>
  </si>
  <si>
    <t>EMP067</t>
  </si>
  <si>
    <t>EMP017</t>
  </si>
  <si>
    <t>EMP123</t>
  </si>
  <si>
    <t>$75,519</t>
  </si>
  <si>
    <t>EMP011</t>
  </si>
  <si>
    <t>EMP091</t>
  </si>
  <si>
    <t>EMP145</t>
  </si>
  <si>
    <t>$50,936</t>
  </si>
  <si>
    <t>EMP001</t>
  </si>
  <si>
    <t>$111,240</t>
  </si>
  <si>
    <t>EMP113</t>
  </si>
  <si>
    <t>EMP065</t>
  </si>
  <si>
    <t>EMP045</t>
  </si>
  <si>
    <t>EMP083</t>
  </si>
  <si>
    <t>EMP029</t>
  </si>
  <si>
    <t>EMP041</t>
  </si>
  <si>
    <t>EMP026</t>
  </si>
  <si>
    <t>EMP024</t>
  </si>
  <si>
    <t>EMP111</t>
  </si>
  <si>
    <t>EMP040</t>
  </si>
  <si>
    <t>$86,246</t>
  </si>
  <si>
    <t>EMP086</t>
  </si>
  <si>
    <t>EMP124</t>
  </si>
  <si>
    <t>EMP132</t>
  </si>
  <si>
    <t>EMP048</t>
  </si>
  <si>
    <t>$47,694</t>
  </si>
  <si>
    <t>EMP114</t>
  </si>
  <si>
    <t>EMP062</t>
  </si>
  <si>
    <t>EMP074</t>
  </si>
  <si>
    <t>EMP034</t>
  </si>
  <si>
    <t>EMP105</t>
  </si>
  <si>
    <t>EMP118</t>
  </si>
  <si>
    <t>EMP063</t>
  </si>
  <si>
    <t>EMP094</t>
  </si>
  <si>
    <t>$77,545</t>
  </si>
  <si>
    <t>EMP097</t>
  </si>
  <si>
    <t>EMP054</t>
  </si>
  <si>
    <t>EMP006</t>
  </si>
  <si>
    <t>EMP110</t>
  </si>
  <si>
    <t>$88,056</t>
  </si>
  <si>
    <t>EMP147</t>
  </si>
  <si>
    <t>EMP050</t>
  </si>
  <si>
    <t>$115,288</t>
  </si>
  <si>
    <t>EMP036</t>
  </si>
  <si>
    <t>EMP081</t>
  </si>
  <si>
    <t>EMP078</t>
  </si>
  <si>
    <t>EMP035</t>
  </si>
  <si>
    <t>EMP047</t>
  </si>
  <si>
    <t>EMP008</t>
  </si>
  <si>
    <t>EMP044</t>
  </si>
  <si>
    <t>$49,942</t>
  </si>
  <si>
    <t>EMP071</t>
  </si>
  <si>
    <t>EMP115</t>
  </si>
  <si>
    <t>EMP092</t>
  </si>
  <si>
    <t>EMP084</t>
  </si>
  <si>
    <t>EMP142</t>
  </si>
  <si>
    <t>EMP143</t>
  </si>
  <si>
    <t>$77,737</t>
  </si>
  <si>
    <t>EMP090</t>
  </si>
  <si>
    <t>$95,686</t>
  </si>
  <si>
    <t>EMP009</t>
  </si>
  <si>
    <t>EMP014</t>
  </si>
  <si>
    <t>$109,121</t>
  </si>
  <si>
    <t>EMP060</t>
  </si>
  <si>
    <t>$112,791</t>
  </si>
  <si>
    <t>EMP135</t>
  </si>
  <si>
    <t>EMP004</t>
  </si>
  <si>
    <t>EMP018</t>
  </si>
  <si>
    <t>EMP039</t>
  </si>
  <si>
    <t>EMP073</t>
  </si>
  <si>
    <t>EMP138</t>
  </si>
  <si>
    <t>EMP007</t>
  </si>
  <si>
    <t>EMP144</t>
  </si>
  <si>
    <t>EMP101</t>
  </si>
  <si>
    <t>EMP003</t>
  </si>
  <si>
    <t>EMP121</t>
  </si>
  <si>
    <t>$68,092</t>
  </si>
  <si>
    <t>EMP064</t>
  </si>
  <si>
    <t>EMP116</t>
  </si>
  <si>
    <t>EMP055</t>
  </si>
  <si>
    <t>EMP108</t>
  </si>
  <si>
    <t>EMP051</t>
  </si>
  <si>
    <t>EMP059</t>
  </si>
  <si>
    <t>EMP049</t>
  </si>
  <si>
    <t>$115,618</t>
  </si>
  <si>
    <t>EMP089</t>
  </si>
  <si>
    <t>$110,618</t>
  </si>
  <si>
    <t>EMP022</t>
  </si>
  <si>
    <t>EMP058</t>
  </si>
  <si>
    <t>EMP130</t>
  </si>
  <si>
    <t>EMP038</t>
  </si>
  <si>
    <t>$61,547</t>
  </si>
  <si>
    <t>EMP148</t>
  </si>
  <si>
    <t>EMP002</t>
  </si>
  <si>
    <t>EMP053</t>
  </si>
  <si>
    <t>EMP131</t>
  </si>
  <si>
    <t>EMP104</t>
  </si>
  <si>
    <t>EMP100</t>
  </si>
  <si>
    <t>EMP117</t>
  </si>
  <si>
    <t>$108,119</t>
  </si>
  <si>
    <t>EMP088</t>
  </si>
  <si>
    <t>EMP075</t>
  </si>
  <si>
    <t>EMP122</t>
  </si>
  <si>
    <t>EMP021</t>
  </si>
  <si>
    <t>EMP072</t>
  </si>
  <si>
    <t>EMP107</t>
  </si>
  <si>
    <t>EMP093</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</si>
  <si>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</si>
  <si>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</si>
  <si>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</si>
  <si>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</si>
  <si>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</si>
  <si>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</si>
  <si>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</si>
  <si>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</si>
  <si>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</si>
  <si>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</si>
  <si>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</si>
  <si>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</si>
  <si>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</si>
  <si>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</si>
  <si>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</si>
  <si>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</si>
  <si>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</si>
  <si>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</si>
  <si>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</si>
  <si>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Employee ID</t>
  </si>
  <si>
    <t>Performance Score</t>
  </si>
  <si>
    <t>Full Name</t>
  </si>
  <si>
    <t>Emily Brown</t>
  </si>
  <si>
    <t>Richard Hernandez</t>
  </si>
  <si>
    <t>Emily Gonzalez</t>
  </si>
  <si>
    <t>John Martinez</t>
  </si>
  <si>
    <t>Thomas Smith</t>
  </si>
  <si>
    <t>Emily Johnson</t>
  </si>
  <si>
    <t>John Wilson</t>
  </si>
  <si>
    <t>Jessica Smith</t>
  </si>
  <si>
    <t>A Rodriguez</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</si>
  <si>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</si>
  <si>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</si>
  <si>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</si>
  <si>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</si>
  <si>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</si>
  <si>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</si>
  <si>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</si>
  <si>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</si>
  <si>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</si>
  <si>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</si>
  <si>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</si>
  <si>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</si>
  <si>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</si>
  <si>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</si>
  <si>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</si>
  <si>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A Williams</t>
  </si>
  <si>
    <t>Michael Wilson</t>
  </si>
  <si>
    <t>John Rodriguez</t>
  </si>
  <si>
    <t>Thomas Hernandez</t>
  </si>
  <si>
    <t>Michael Johnson</t>
  </si>
  <si>
    <t>Sarah Brown</t>
  </si>
  <si>
    <t>Jane Martinez</t>
  </si>
  <si>
    <t>Emily Jones</t>
  </si>
  <si>
    <t>A Brown</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</si>
  <si>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</si>
  <si>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</si>
  <si>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</si>
  <si>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</si>
  <si>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</si>
  <si>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</si>
  <si>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</si>
  <si>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</si>
  <si>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</si>
  <si>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</si>
  <si>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</si>
  <si>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</si>
  <si>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</si>
  <si>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</si>
  <si>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</si>
  <si>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</si>
  <si>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</si>
  <si>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</si>
  <si>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</si>
  <si>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</si>
  <si>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</si>
  <si>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</si>
  <si>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</si>
  <si>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</si>
  <si>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</si>
  <si>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</si>
  <si>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</si>
  <si>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</si>
  <si>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</si>
  <si>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</si>
  <si>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</si>
  <si>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</si>
  <si>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</si>
  <si>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</si>
  <si>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</si>
  <si>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</si>
  <si>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</si>
  <si>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</si>
  <si>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</si>
  <si>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</si>
  <si>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</si>
  <si>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</si>
  <si>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</si>
  <si>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A Smith</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</si>
  <si>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</si>
  <si>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</si>
  <si>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</si>
  <si>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</si>
  <si>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</si>
  <si>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</si>
  <si>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</si>
  <si>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</si>
  <si>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</si>
  <si>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</si>
  <si>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</si>
  <si>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</si>
  <si>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</si>
  <si>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</si>
  <si>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</si>
  <si>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</si>
  <si>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</si>
  <si>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</si>
  <si>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</si>
  <si>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</si>
  <si>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</si>
  <si>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</si>
  <si>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</si>
  <si>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</si>
  <si>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</si>
  <si>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</si>
  <si>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</si>
  <si>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</si>
  <si>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A Jones</t>
  </si>
  <si>
    <t>William Rodriguez</t>
  </si>
  <si>
    <t>Melissa Miller</t>
  </si>
  <si>
    <t>Emily Martinez</t>
  </si>
  <si>
    <t>Department</t>
  </si>
  <si>
    <t>Years of Service</t>
  </si>
  <si>
    <t>Performace Band</t>
  </si>
  <si>
    <t>Bonus Percentage</t>
  </si>
  <si>
    <t>Grand Total</t>
  </si>
  <si>
    <t>Average of Salary</t>
  </si>
  <si>
    <t>Count of Employee ID</t>
  </si>
  <si>
    <t>Average of Performance Score</t>
  </si>
  <si>
    <t>Bonus Payout</t>
  </si>
  <si>
    <t>Sum of Bonus Payout</t>
  </si>
  <si>
    <t>Headcount and Salary per Department</t>
  </si>
  <si>
    <t>Rate of Attrition per Department</t>
  </si>
  <si>
    <t>Performance by Status</t>
  </si>
  <si>
    <t>Bonus Payout per Performance Band</t>
  </si>
  <si>
    <t>Performance Band</t>
  </si>
  <si>
    <t>Departments</t>
  </si>
  <si>
    <t>Count of Employees</t>
  </si>
  <si>
    <t>average Salary</t>
  </si>
  <si>
    <t xml:space="preserve"> </t>
  </si>
  <si>
    <t>AVERAGE SALARY</t>
  </si>
  <si>
    <t>SUM OF BONUS PAID</t>
  </si>
  <si>
    <t>HIGEST RATE OF ATTRITION</t>
  </si>
  <si>
    <t>TOTAL SALARY PAID</t>
  </si>
  <si>
    <t>Sum of Salary</t>
  </si>
  <si>
    <t xml:space="preserve"> NUMBERS OF EMPLOYEES</t>
  </si>
  <si>
    <t>KEY PERFORMANCE INDICATORS</t>
  </si>
  <si>
    <t>s</t>
  </si>
  <si>
    <t>Emp ID</t>
  </si>
  <si>
    <t>First_Name</t>
  </si>
  <si>
    <t>Last_Name</t>
  </si>
  <si>
    <t>Perf_Score</t>
  </si>
  <si>
    <t>Emily</t>
  </si>
  <si>
    <t>Brown</t>
  </si>
  <si>
    <t>active</t>
  </si>
  <si>
    <t>Richard</t>
  </si>
  <si>
    <t>Hernandez</t>
  </si>
  <si>
    <t xml:space="preserve"> ACTIVE </t>
  </si>
  <si>
    <t>Gonzalez</t>
  </si>
  <si>
    <t xml:space="preserve"> IT02 </t>
  </si>
  <si>
    <t xml:space="preserve"> LEFT </t>
  </si>
  <si>
    <t>John</t>
  </si>
  <si>
    <t>Martinez</t>
  </si>
  <si>
    <t>Thomas</t>
  </si>
  <si>
    <t>Smith</t>
  </si>
  <si>
    <t>Johnson</t>
  </si>
  <si>
    <t>02-Mar-20</t>
  </si>
  <si>
    <t>Wilson</t>
  </si>
  <si>
    <t xml:space="preserve"> OPS06 </t>
  </si>
  <si>
    <t>Jessica</t>
  </si>
  <si>
    <t>Rodriguez</t>
  </si>
  <si>
    <t>Michael</t>
  </si>
  <si>
    <t>Miller</t>
  </si>
  <si>
    <t>sal05</t>
  </si>
  <si>
    <t>Actv</t>
  </si>
  <si>
    <t>Jane</t>
  </si>
  <si>
    <t>Williams</t>
  </si>
  <si>
    <t>mkt04</t>
  </si>
  <si>
    <t>17-Jun-21</t>
  </si>
  <si>
    <t>Robert</t>
  </si>
  <si>
    <t>Jones</t>
  </si>
  <si>
    <t xml:space="preserve"> MKT04 </t>
  </si>
  <si>
    <t>Davis</t>
  </si>
  <si>
    <t>James</t>
  </si>
  <si>
    <t>Ashley</t>
  </si>
  <si>
    <t>Lopez</t>
  </si>
  <si>
    <t>Amanda</t>
  </si>
  <si>
    <t xml:space="preserve"> FIN03 </t>
  </si>
  <si>
    <t xml:space="preserve"> SAL05 </t>
  </si>
  <si>
    <t>09/24/2019</t>
  </si>
  <si>
    <t>it02</t>
  </si>
  <si>
    <t>fin03</t>
  </si>
  <si>
    <t>13-May-18</t>
  </si>
  <si>
    <t>05-Aug-15</t>
  </si>
  <si>
    <t>Sarah</t>
  </si>
  <si>
    <t>10-Jun-19</t>
  </si>
  <si>
    <t>03-Jul-17</t>
  </si>
  <si>
    <t>01-Sep-15</t>
  </si>
  <si>
    <t>03-Aug-22</t>
  </si>
  <si>
    <t>Melissa</t>
  </si>
  <si>
    <t>06/29/2022</t>
  </si>
  <si>
    <t>left</t>
  </si>
  <si>
    <t>09/09/2017</t>
  </si>
  <si>
    <t>David</t>
  </si>
  <si>
    <t>07/14/2016</t>
  </si>
  <si>
    <t>10-Jul-19</t>
  </si>
  <si>
    <t>10/07/2019</t>
  </si>
  <si>
    <t>Garcia</t>
  </si>
  <si>
    <t>Anderson</t>
  </si>
  <si>
    <t>hr01</t>
  </si>
  <si>
    <t>02/07/2018</t>
  </si>
  <si>
    <t>11/11/2016</t>
  </si>
  <si>
    <t>24-Mar-17</t>
  </si>
  <si>
    <t>05-May-19</t>
  </si>
  <si>
    <t xml:space="preserve"> HR01 </t>
  </si>
  <si>
    <t>William</t>
  </si>
  <si>
    <t>ops06</t>
  </si>
  <si>
    <t>11-Oct-16</t>
  </si>
  <si>
    <t>02/19/2017</t>
  </si>
  <si>
    <t>09/07/2021</t>
  </si>
  <si>
    <t>09/29/2018</t>
  </si>
  <si>
    <t>07-Feb-21</t>
  </si>
  <si>
    <t>10/04/2023</t>
  </si>
  <si>
    <t>27-Nov-19</t>
  </si>
  <si>
    <t>25-May-17</t>
  </si>
  <si>
    <t>03/08/2019</t>
  </si>
  <si>
    <t>11-Mar-15</t>
  </si>
  <si>
    <t>19-Feb-17</t>
  </si>
  <si>
    <t>05/22/2016</t>
  </si>
  <si>
    <t>13-Nov-16</t>
  </si>
  <si>
    <t>13-Aug-21</t>
  </si>
  <si>
    <t>05-Jul-22</t>
  </si>
  <si>
    <t>07/10/2016</t>
  </si>
  <si>
    <t>05/10/2017</t>
  </si>
  <si>
    <t>04/20/2023</t>
  </si>
  <si>
    <t>24-Oct-21</t>
  </si>
  <si>
    <t>10-Aug-20</t>
  </si>
  <si>
    <t>24-Mar-18</t>
  </si>
  <si>
    <t>04-Mar-16</t>
  </si>
  <si>
    <t>28-Jul-17</t>
  </si>
  <si>
    <t>05/11/2023</t>
  </si>
  <si>
    <t>19-Mar-22</t>
  </si>
  <si>
    <t>08/29/2021</t>
  </si>
  <si>
    <t>03-Oct-17</t>
  </si>
  <si>
    <t>10/22/2015</t>
  </si>
  <si>
    <t>01/12/2019</t>
  </si>
  <si>
    <t>03-Nov-16</t>
  </si>
  <si>
    <t>Actual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</si>
</sst>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0_);\(&quot;$&quot;#,##0\)"/>
    <numFmt numFmtId="44" formatCode="_(&quot;$&quot;* #,##0.00_);_(&quot;$&quot;* \(#,##0.00\);_(&quot;$&quot;* &quot;-&quot;??_);_(@_)"/>
    <numFmt numFmtId="164" formatCode="_(&quot;$&quot;* #,##0_);_(&quot;$&quot;* \(#,##0\);_(&quot;$&quot;* &quot;-&quot;??_);_(@_)"/>
    <numFmt numFmtId="165" formatCode="yyyy\-mm\-dd\ hh:mm:ss"/>
  </numFmts>
  <fonts count="12" x14ac:knownFonts="1">
    <font>
      <sz val="11"/>
      <color theme="1"/>
      <name val="Calibri"/>
      <family val="2"/>
      <scheme val="minor"/>
    </font>
    <font>
      <b/>
      <sz val="11"/>
      <name val="Calibri"/>
      <family val="2"/>
    </font>
    <font>
      <b/>
      <sz val="14"/>
      <color theme="1"/>
      <name val="Calibri"/>
      <family val="2"/>
      <scheme val="minor"/>
    </font>
    <font>
      <sz val="11"/>
      <color theme="1"/>
      <name val="Calibri"/>
      <family val="2"/>
      <scheme val="minor"/>
    </font>
    <font>
      <b/>
      <sz val="11"/>
      <color theme="1"/>
      <name val="Calibri"/>
      <family val="2"/>
      <scheme val="minor"/>
    </font>
    <font>
      <b/>
      <sz val="20"/>
      <color theme="9" tint="-0.499984740745262"/>
      <name val="Agency FB"/>
      <family val="2"/>
    </font>
    <font>
      <b/>
      <sz val="16"/>
      <color theme="9" tint="-0.499984740745262"/>
      <name val="Agency FB"/>
      <family val="2"/>
    </font>
    <font>
      <b/>
      <sz val="11"/>
      <color theme="0"/>
      <name val="Calibri"/>
      <family val="2"/>
      <scheme val="minor"/>
    </font>
    <font>
      <sz val="11"/>
      <color theme="9" tint="-0.499984740745262"/>
      <name val="Calibri"/>
      <family val="2"/>
      <scheme val="minor"/>
    </font>
    <font>
      <b/>
      <sz val="11"/>
      <color theme="9" tint="-0.499984740745262"/>
      <name val="Calibri"/>
      <family val="2"/>
      <scheme val="minor"/>
    </font>
    <font>
      <b/>
      <i/>
      <sz val="16"/>
      <color theme="9" tint="-0.499984740745262"/>
      <name val="Arial Rounded MT Bold"/>
      <family val="2"/>
    </font>
    <font>
      <sz val="11"/>
      <color theme="9" tint="0.3999755851924192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9" tint="-0.499984740745262"/>
        <bgColor theme="9" tint="-0.499984740745262"/>
      </patternFill>
    </fill>
    <fill>
      <patternFill patternType="solid">
        <fgColor theme="9" tint="0.59999389629810485"/>
        <bgColor theme="9" tint="0.59999389629810485"/>
      </patternFill>
    </fill>
  </fills>
  <borders count="4">
    <border>
      <left/>
      <right/>
      <top/>
      <bottom/>
      <diagonal/>
    </border>
    <border>
      <left style="thin">
        <color auto="1"/>
      </left>
      <right style="thin">
        <color auto="1"/>
      </right>
      <top/>
      <bottom style="thin">
        <color auto="1"/>
      </bottom>
      <diagonal/>
    </border>
    <border>
      <left/>
      <right/>
      <top style="thin">
        <color theme="9" tint="0.79998168889431442"/>
      </top>
      <bottom style="thin">
        <color theme="9" tint="0.79998168889431442"/>
      </bottom>
      <diagonal/>
    </border>
    <border>
      <left/>
      <right/>
      <top style="thin">
        <color theme="9" tint="0.79998168889431442"/>
      </top>
      <bottom/>
      <diagonal/>
    </border>
  </borders>
  <cellStyleXfs count="2">
    <xf numFmtId="0" fontId="0" fillId="0" borderId="0"/>
    <xf numFmtId="44"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0" fontId="2" fillId="0" borderId="0" xfId="0" applyFont="1"/>
    <xf numFmtId="164" fontId="0" fillId="0" borderId="0" xfId="1" applyNumberFormat="1" applyFont="1"/>
    <xf numFmtId="164" fontId="2" fillId="0" borderId="0" xfId="0" applyNumberFormat="1" applyFont="1"/>
    <xf numFmtId="0" fontId="0" fillId="0" borderId="0" xfId="0" pivotButton="1"/>
    <xf numFmtId="0" fontId="0" fillId="0" borderId="0" xfId="0" applyAlignment="1">
      <alignment horizontal="left"/>
    </xf>
    <xf numFmtId="164" fontId="0" fillId="0" borderId="0" xfId="0" applyNumberFormat="1"/>
    <xf numFmtId="0" fontId="4" fillId="0" borderId="0" xfId="0" applyFont="1"/>
    <xf numFmtId="9" fontId="0" fillId="0" borderId="0" xfId="0" applyNumberFormat="1"/>
    <xf numFmtId="1" fontId="0" fillId="0" borderId="0" xfId="0" applyNumberFormat="1"/>
    <xf numFmtId="3" fontId="0" fillId="0" borderId="0" xfId="0" applyNumberFormat="1"/>
    <xf numFmtId="0" fontId="6" fillId="3" borderId="0" xfId="0" applyFont="1" applyFill="1"/>
    <xf numFmtId="164" fontId="7" fillId="4" borderId="3" xfId="0" applyNumberFormat="1" applyFont="1" applyFill="1" applyBorder="1"/>
    <xf numFmtId="9" fontId="0" fillId="5" borderId="2" xfId="0" applyNumberFormat="1" applyFill="1" applyBorder="1"/>
    <xf numFmtId="5" fontId="0" fillId="0" borderId="0" xfId="0" applyNumberFormat="1"/>
    <xf numFmtId="5" fontId="0" fillId="5" borderId="3" xfId="0" applyNumberFormat="1" applyFill="1" applyBorder="1"/>
    <xf numFmtId="1" fontId="0" fillId="5" borderId="3" xfId="0" applyNumberFormat="1" applyFill="1" applyBorder="1"/>
    <xf numFmtId="0" fontId="8" fillId="0" borderId="0" xfId="0" applyFont="1"/>
    <xf numFmtId="0" fontId="9" fillId="0" borderId="0" xfId="0" applyFont="1"/>
    <xf numFmtId="0" fontId="10" fillId="0" borderId="0" xfId="0" applyFont="1"/>
    <xf numFmtId="0" fontId="11" fillId="0" borderId="0" xfId="0" applyFont="1"/>
    <xf numFmtId="165" fontId="0" fillId="0" borderId="0" xfId="0" applyNumberFormat="1"/>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0" fillId="0" borderId="0" xfId="0" applyNumberFormat="1"/>
  </cellXfs>
  <cellStyles count="2">
    <cellStyle name="Currency" xfId="1" builtinId="4"/>
    <cellStyle name="Normal" xfId="0" builtinId="0"/>
  </cellStyles>
  <dxfs count="32">
    <dxf>
      <numFmt numFmtId="165"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164" formatCode="_(&quot;$&quot;* #,##0_);_(&quot;$&quot;* \(#,##0\);_(&quot;$&quot;* &quot;-&quot;??_);_(@_)"/>
    </dxf>
    <dxf>
      <numFmt numFmtId="0" formatCode="General"/>
    </dxf>
    <dxf>
      <numFmt numFmtId="19" formatCode="m/d/yyyy"/>
    </dxf>
    <dxf>
      <numFmt numFmtId="0" formatCode="General"/>
    </dxf>
    <dxf>
      <numFmt numFmtId="0" formatCode="General"/>
    </dxf>
    <dxf>
      <numFmt numFmtId="0" formatCode="General"/>
    </dxf>
    <dxf>
      <numFmt numFmtId="0" formatCode="General"/>
    </dxf>
    <dxf>
      <font>
        <b/>
        <strike val="0"/>
        <outline val="0"/>
        <shadow val="0"/>
        <u val="none"/>
        <vertAlign val="baseline"/>
        <sz val="14"/>
        <color theme="1"/>
        <name val="Calibri"/>
        <family val="2"/>
        <scheme val="minor"/>
      </font>
    </dxf>
    <dxf>
      <numFmt numFmtId="1" formatCode="0"/>
    </dxf>
    <dxf>
      <numFmt numFmtId="9" formatCode="&quot;$&quot;#,##0_);\(&quot;$&quot;#,##0\)"/>
    </dxf>
    <dxf>
      <numFmt numFmtId="1" formatCode="0"/>
    </dxf>
    <dxf>
      <numFmt numFmtId="1" formatCode="0"/>
    </dxf>
    <dxf>
      <numFmt numFmtId="1" formatCode="0"/>
    </dxf>
    <dxf>
      <numFmt numFmtId="166" formatCode="0.0"/>
    </dxf>
    <dxf>
      <numFmt numFmtId="2" formatCode="0.00"/>
    </dxf>
    <dxf>
      <numFmt numFmtId="1" formatCode="0"/>
    </dxf>
    <dxf>
      <numFmt numFmtId="13" formatCode="0%"/>
    </dxf>
  </dxfs>
  <tableStyles count="1" defaultTableStyle="TableStyleMedium9" defaultPivotStyle="PivotStyleLight16">
    <tableStyle name="PivotTable Style 1" table="0" count="2" xr9:uid="{B605E671-F8C8-4050-B6FB-7A82A8694CF1}">
      <tableStyleElement type="firstRowStripe" size="2"/>
      <tableStyleElement type="firstColumnStripe" size="3"/>
    </tableStyle>
  </tableStyles>
  <colors>
    <mruColors>
      <color rgb="FFFEF6F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a:solidFill>
                  <a:schemeClr val="accent6">
                    <a:lumMod val="50000"/>
                  </a:schemeClr>
                </a:solidFill>
              </a:rPr>
              <a:t>HEADCOUNT</a:t>
            </a:r>
            <a:r>
              <a:rPr lang="en-US" sz="1400" b="1" i="1" baseline="0">
                <a:solidFill>
                  <a:schemeClr val="accent6">
                    <a:lumMod val="50000"/>
                  </a:schemeClr>
                </a:solidFill>
              </a:rPr>
              <a:t> &amp; SALARY BY DEPARTMENT</a:t>
            </a:r>
            <a:endParaRPr lang="en-US" sz="1400" b="1" i="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51221839794261E-2"/>
          <c:y val="8.8520055325034583E-2"/>
          <c:w val="0.79811443718182173"/>
          <c:h val="0.62346652726500473"/>
        </c:manualLayout>
      </c:layout>
      <c:barChart>
        <c:barDir val="col"/>
        <c:grouping val="clustered"/>
        <c:varyColors val="0"/>
        <c:ser>
          <c:idx val="0"/>
          <c:order val="0"/>
          <c:tx>
            <c:strRef>
              <c:f>Analysis!$B$6</c:f>
              <c:strCache>
                <c:ptCount val="1"/>
                <c:pt idx="0">
                  <c:v>Count of Employees</c:v>
                </c:pt>
              </c:strCache>
            </c:strRef>
          </c:tx>
          <c:spPr>
            <a:solidFill>
              <a:schemeClr val="accent6">
                <a:shade val="76000"/>
              </a:schemeClr>
            </a:solidFill>
            <a:ln>
              <a:noFill/>
            </a:ln>
            <a:effectLst/>
          </c:spPr>
          <c:invertIfNegative val="0"/>
          <c:cat>
            <c:strRef>
              <c:f>Analysis!$A$7:$A$13</c:f>
              <c:strCache>
                <c:ptCount val="6"/>
                <c:pt idx="0">
                  <c:v>Information Technology</c:v>
                </c:pt>
                <c:pt idx="1">
                  <c:v>Sales</c:v>
                </c:pt>
                <c:pt idx="2">
                  <c:v>Operations</c:v>
                </c:pt>
                <c:pt idx="3">
                  <c:v>Marketing</c:v>
                </c:pt>
                <c:pt idx="4">
                  <c:v>Human Resources</c:v>
                </c:pt>
                <c:pt idx="5">
                  <c:v>Finance</c:v>
                </c:pt>
              </c:strCache>
            </c:strRef>
          </c:cat>
          <c:val>
            <c:numRef>
              <c:f>Analysis!$B$7:$B$13</c:f>
              <c:numCache>
                <c:formatCode>General</c:formatCode>
                <c:ptCount val="6"/>
                <c:pt idx="0">
                  <c:v>34</c:v>
                </c:pt>
                <c:pt idx="1">
                  <c:v>29</c:v>
                </c:pt>
                <c:pt idx="2">
                  <c:v>24</c:v>
                </c:pt>
                <c:pt idx="3">
                  <c:v>19</c:v>
                </c:pt>
                <c:pt idx="4">
                  <c:v>17</c:v>
                </c:pt>
                <c:pt idx="5">
                  <c:v>17</c:v>
                </c:pt>
              </c:numCache>
            </c:numRef>
          </c:val>
          <c:extLst>
            <c:ext xmlns:c16="http://schemas.microsoft.com/office/drawing/2014/chart" uri="{C3380CC4-5D6E-409C-BE32-E72D297353CC}">
              <c16:uniqueId val="{00000000-1F7E-420D-9B83-6EE556BB2805}"/>
            </c:ext>
          </c:extLst>
        </c:ser>
        <c:dLbls>
          <c:showLegendKey val="0"/>
          <c:showVal val="0"/>
          <c:showCatName val="0"/>
          <c:showSerName val="0"/>
          <c:showPercent val="0"/>
          <c:showBubbleSize val="0"/>
        </c:dLbls>
        <c:gapWidth val="150"/>
        <c:axId val="1280651711"/>
        <c:axId val="1280654111"/>
      </c:barChart>
      <c:lineChart>
        <c:grouping val="standard"/>
        <c:varyColors val="0"/>
        <c:ser>
          <c:idx val="1"/>
          <c:order val="1"/>
          <c:tx>
            <c:strRef>
              <c:f>Analysis!$C$6</c:f>
              <c:strCache>
                <c:ptCount val="1"/>
                <c:pt idx="0">
                  <c:v>Average of Salary</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Analysis!$A$7:$A$13</c:f>
              <c:strCache>
                <c:ptCount val="6"/>
                <c:pt idx="0">
                  <c:v>Information Technology</c:v>
                </c:pt>
                <c:pt idx="1">
                  <c:v>Sales</c:v>
                </c:pt>
                <c:pt idx="2">
                  <c:v>Operations</c:v>
                </c:pt>
                <c:pt idx="3">
                  <c:v>Marketing</c:v>
                </c:pt>
                <c:pt idx="4">
                  <c:v>Human Resources</c:v>
                </c:pt>
                <c:pt idx="5">
                  <c:v>Finance</c:v>
                </c:pt>
              </c:strCache>
            </c:strRef>
          </c:cat>
          <c:val>
            <c:numRef>
              <c:f>Analysis!$C$7:$C$13</c:f>
              <c:numCache>
                <c:formatCode>_("$"* #,##0_);_("$"* \(#,##0\);_("$"* "-"??_);_(@_)</c:formatCode>
                <c:ptCount val="6"/>
                <c:pt idx="0">
                  <c:v>78738.441176470587</c:v>
                </c:pt>
                <c:pt idx="1">
                  <c:v>82899.137931034478</c:v>
                </c:pt>
                <c:pt idx="2">
                  <c:v>75290.416666666672</c:v>
                </c:pt>
                <c:pt idx="3">
                  <c:v>84821.263157894733</c:v>
                </c:pt>
                <c:pt idx="4">
                  <c:v>86878.76470588235</c:v>
                </c:pt>
                <c:pt idx="5">
                  <c:v>85206.470588235301</c:v>
                </c:pt>
              </c:numCache>
            </c:numRef>
          </c:val>
          <c:smooth val="0"/>
          <c:extLst>
            <c:ext xmlns:c16="http://schemas.microsoft.com/office/drawing/2014/chart" uri="{C3380CC4-5D6E-409C-BE32-E72D297353CC}">
              <c16:uniqueId val="{00000001-1F7E-420D-9B83-6EE556BB2805}"/>
            </c:ext>
          </c:extLst>
        </c:ser>
        <c:dLbls>
          <c:showLegendKey val="0"/>
          <c:showVal val="0"/>
          <c:showCatName val="0"/>
          <c:showSerName val="0"/>
          <c:showPercent val="0"/>
          <c:showBubbleSize val="0"/>
        </c:dLbls>
        <c:marker val="1"/>
        <c:smooth val="0"/>
        <c:axId val="705302992"/>
        <c:axId val="705303952"/>
      </c:lineChart>
      <c:catAx>
        <c:axId val="128065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280654111"/>
        <c:crosses val="autoZero"/>
        <c:auto val="1"/>
        <c:lblAlgn val="ctr"/>
        <c:lblOffset val="100"/>
        <c:noMultiLvlLbl val="0"/>
      </c:catAx>
      <c:valAx>
        <c:axId val="128065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40" b="0" i="0" u="none" strike="noStrike" kern="1200" baseline="0">
                <a:solidFill>
                  <a:schemeClr val="accent6">
                    <a:lumMod val="50000"/>
                  </a:schemeClr>
                </a:solidFill>
                <a:latin typeface="+mn-lt"/>
                <a:ea typeface="+mn-ea"/>
                <a:cs typeface="+mn-cs"/>
              </a:defRPr>
            </a:pPr>
            <a:endParaRPr lang="en-US"/>
          </a:p>
        </c:txPr>
        <c:crossAx val="1280651711"/>
        <c:crosses val="autoZero"/>
        <c:crossBetween val="between"/>
      </c:valAx>
      <c:valAx>
        <c:axId val="705303952"/>
        <c:scaling>
          <c:orientation val="minMax"/>
        </c:scaling>
        <c:delete val="0"/>
        <c:axPos val="r"/>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705302992"/>
        <c:crosses val="max"/>
        <c:crossBetween val="between"/>
      </c:valAx>
      <c:catAx>
        <c:axId val="705302992"/>
        <c:scaling>
          <c:orientation val="minMax"/>
        </c:scaling>
        <c:delete val="1"/>
        <c:axPos val="t"/>
        <c:numFmt formatCode="General" sourceLinked="1"/>
        <c:majorTickMark val="none"/>
        <c:minorTickMark val="none"/>
        <c:tickLblPos val="nextTo"/>
        <c:crossAx val="705303952"/>
        <c:crosses val="max"/>
        <c:auto val="1"/>
        <c:lblAlgn val="ctr"/>
        <c:lblOffset val="100"/>
        <c:noMultiLvlLbl val="0"/>
      </c:catAx>
      <c:spPr>
        <a:noFill/>
        <a:ln>
          <a:noFill/>
        </a:ln>
        <a:effectLst/>
      </c:spPr>
    </c:plotArea>
    <c:legend>
      <c:legendPos val="b"/>
      <c:layout>
        <c:manualLayout>
          <c:xMode val="edge"/>
          <c:yMode val="edge"/>
          <c:x val="0.18937591594700964"/>
          <c:y val="0.81708460083860912"/>
          <c:w val="0.61545277156590017"/>
          <c:h val="0.1184212761786519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Yakubu.xlsx]Analysis!PivotTable4</c:name>
    <c:fmtId val="6"/>
  </c:pivotSource>
  <c:chart>
    <c:title>
      <c:tx>
        <c:rich>
          <a:bodyPr/>
          <a:lstStyle/>
          <a:p>
            <a:pPr>
              <a:defRPr/>
            </a:pPr>
            <a:r>
              <a:rPr lang="en-US" sz="1400" b="1" i="1">
                <a:solidFill>
                  <a:schemeClr val="accent6">
                    <a:lumMod val="50000"/>
                  </a:schemeClr>
                </a:solidFill>
              </a:rPr>
              <a:t>ATTRITION</a:t>
            </a:r>
            <a:r>
              <a:rPr lang="en-US" sz="1400" b="1" i="1" baseline="0">
                <a:solidFill>
                  <a:schemeClr val="accent6">
                    <a:lumMod val="50000"/>
                  </a:schemeClr>
                </a:solidFill>
              </a:rPr>
              <a:t> RATE PER DEPARTMENT</a:t>
            </a:r>
            <a:endParaRPr lang="en-US" sz="1400" b="1" i="1">
              <a:solidFill>
                <a:schemeClr val="accent6">
                  <a:lumMod val="50000"/>
                </a:schemeClr>
              </a:solidFill>
            </a:endParaRPr>
          </a:p>
        </c:rich>
      </c:tx>
      <c:overlay val="0"/>
      <c:spPr>
        <a:noFill/>
        <a:ln>
          <a:noFill/>
        </a:ln>
      </c:sp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accent6"/>
            </a:solidFill>
            <a:round/>
          </a:ln>
          <a:effectLst/>
        </c:spPr>
        <c:marker>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tint val="77000"/>
            </a:schemeClr>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tint val="77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6">
              <a:tint val="77000"/>
            </a:schemeClr>
          </a:solidFill>
          <a:ln>
            <a:noFill/>
          </a:ln>
          <a:effectLst/>
        </c:spPr>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0983379093067973E-2"/>
          <c:y val="0.1308277651023306"/>
          <c:w val="0.79811443718182173"/>
          <c:h val="0.62346652726500473"/>
        </c:manualLayout>
      </c:layout>
      <c:barChart>
        <c:barDir val="col"/>
        <c:grouping val="clustered"/>
        <c:varyColors val="0"/>
        <c:ser>
          <c:idx val="0"/>
          <c:order val="0"/>
          <c:tx>
            <c:strRef>
              <c:f>Analysis!$G$6</c:f>
              <c:strCache>
                <c:ptCount val="1"/>
                <c:pt idx="0">
                  <c:v>Total</c:v>
                </c:pt>
              </c:strCache>
            </c:strRef>
          </c:tx>
          <c:invertIfNegative val="0"/>
          <c:cat>
            <c:strRef>
              <c:f>Analysis!$F$7:$F$13</c:f>
              <c:strCache>
                <c:ptCount val="6"/>
                <c:pt idx="0">
                  <c:v>Finance</c:v>
                </c:pt>
                <c:pt idx="1">
                  <c:v>Human Resources</c:v>
                </c:pt>
                <c:pt idx="2">
                  <c:v>Information Technology</c:v>
                </c:pt>
                <c:pt idx="3">
                  <c:v>Marketing</c:v>
                </c:pt>
                <c:pt idx="4">
                  <c:v>Operations</c:v>
                </c:pt>
                <c:pt idx="5">
                  <c:v>Sales</c:v>
                </c:pt>
              </c:strCache>
            </c:strRef>
          </c:cat>
          <c:val>
            <c:numRef>
              <c:f>Analysis!$G$7:$G$13</c:f>
              <c:numCache>
                <c:formatCode>0%</c:formatCode>
                <c:ptCount val="6"/>
                <c:pt idx="0">
                  <c:v>0.12142857142857143</c:v>
                </c:pt>
                <c:pt idx="1">
                  <c:v>0.12142857142857143</c:v>
                </c:pt>
                <c:pt idx="2">
                  <c:v>0.24285714285714285</c:v>
                </c:pt>
                <c:pt idx="3">
                  <c:v>0.1357142857142857</c:v>
                </c:pt>
                <c:pt idx="4">
                  <c:v>0.17142857142857143</c:v>
                </c:pt>
                <c:pt idx="5">
                  <c:v>0.20714285714285716</c:v>
                </c:pt>
              </c:numCache>
            </c:numRef>
          </c:val>
          <c:extLst>
            <c:ext xmlns:c16="http://schemas.microsoft.com/office/drawing/2014/chart" uri="{C3380CC4-5D6E-409C-BE32-E72D297353CC}">
              <c16:uniqueId val="{00000000-34FE-428D-B043-70CA14ABCE43}"/>
            </c:ext>
          </c:extLst>
        </c:ser>
        <c:dLbls>
          <c:showLegendKey val="0"/>
          <c:showVal val="0"/>
          <c:showCatName val="0"/>
          <c:showSerName val="0"/>
          <c:showPercent val="0"/>
          <c:showBubbleSize val="0"/>
        </c:dLbls>
        <c:gapWidth val="150"/>
        <c:axId val="1280651711"/>
        <c:axId val="1280654111"/>
      </c:barChart>
      <c:catAx>
        <c:axId val="1280651711"/>
        <c:scaling>
          <c:orientation val="minMax"/>
        </c:scaling>
        <c:delete val="0"/>
        <c:axPos val="b"/>
        <c:numFmt formatCode="General" sourceLinked="1"/>
        <c:majorTickMark val="out"/>
        <c:minorTickMark val="none"/>
        <c:tickLblPos val="nextTo"/>
        <c:txPr>
          <a:bodyPr rot="-60000000" vert="horz"/>
          <a:lstStyle/>
          <a:p>
            <a:pPr>
              <a:defRPr sz="1100" baseline="0">
                <a:solidFill>
                  <a:schemeClr val="accent6">
                    <a:lumMod val="50000"/>
                  </a:schemeClr>
                </a:solidFill>
              </a:defRPr>
            </a:pPr>
            <a:endParaRPr lang="en-US"/>
          </a:p>
        </c:txPr>
        <c:crossAx val="1280654111"/>
        <c:crosses val="autoZero"/>
        <c:auto val="1"/>
        <c:lblAlgn val="ctr"/>
        <c:lblOffset val="100"/>
        <c:noMultiLvlLbl val="0"/>
      </c:catAx>
      <c:valAx>
        <c:axId val="1280654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280651711"/>
        <c:crosses val="autoZero"/>
        <c:crossBetween val="between"/>
      </c:valAx>
      <c:spPr>
        <a:noFill/>
      </c:spPr>
    </c:plotArea>
    <c:plotVisOnly val="1"/>
    <c:dispBlanksAs val="gap"/>
    <c:showDLblsOverMax val="0"/>
    <c:extLst/>
  </c:chart>
  <c:spPr>
    <a:noFill/>
    <a:ln>
      <a:solidFill>
        <a:schemeClr val="accent6">
          <a:lumMod val="5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Yakubu.xlsx]Analysis!PivotTable10</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b="1" i="1">
                <a:solidFill>
                  <a:schemeClr val="accent6">
                    <a:lumMod val="50000"/>
                  </a:schemeClr>
                </a:solidFill>
              </a:rPr>
              <a:t>BONUS</a:t>
            </a:r>
            <a:r>
              <a:rPr lang="en-US" sz="1400" b="1" i="1" baseline="0">
                <a:solidFill>
                  <a:schemeClr val="accent6">
                    <a:lumMod val="50000"/>
                  </a:schemeClr>
                </a:solidFill>
              </a:rPr>
              <a:t> PER PERFORMCE BAND</a:t>
            </a:r>
          </a:p>
        </c:rich>
      </c:tx>
      <c:layout>
        <c:manualLayout>
          <c:xMode val="edge"/>
          <c:yMode val="edge"/>
          <c:x val="0.28914078993507386"/>
          <c:y val="3.168723663771686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15571019685549E-2"/>
          <c:y val="0"/>
          <c:w val="0.88646874841040513"/>
          <c:h val="0.81704057244770489"/>
        </c:manualLayout>
      </c:layout>
      <c:barChart>
        <c:barDir val="col"/>
        <c:grouping val="clustered"/>
        <c:varyColors val="0"/>
        <c:ser>
          <c:idx val="0"/>
          <c:order val="0"/>
          <c:tx>
            <c:strRef>
              <c:f>Analysis!$L$7</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Analysis!$K$8:$K$13</c:f>
              <c:strCache>
                <c:ptCount val="5"/>
                <c:pt idx="0">
                  <c:v>Exceeding</c:v>
                </c:pt>
                <c:pt idx="1">
                  <c:v>Achieving</c:v>
                </c:pt>
                <c:pt idx="2">
                  <c:v>Outstanding</c:v>
                </c:pt>
                <c:pt idx="3">
                  <c:v>Developing</c:v>
                </c:pt>
                <c:pt idx="4">
                  <c:v>Needs Improvement</c:v>
                </c:pt>
              </c:strCache>
            </c:strRef>
          </c:cat>
          <c:val>
            <c:numRef>
              <c:f>Analysis!$L$8:$L$13</c:f>
              <c:numCache>
                <c:formatCode>_("$"* #,##0_);_("$"* \(#,##0\);_("$"* "-"??_);_(@_)</c:formatCode>
                <c:ptCount val="5"/>
                <c:pt idx="0">
                  <c:v>1316600.7999999998</c:v>
                </c:pt>
                <c:pt idx="1">
                  <c:v>160371.40000000002</c:v>
                </c:pt>
                <c:pt idx="2">
                  <c:v>91073.88</c:v>
                </c:pt>
                <c:pt idx="3">
                  <c:v>69012.42</c:v>
                </c:pt>
                <c:pt idx="4">
                  <c:v>0</c:v>
                </c:pt>
              </c:numCache>
            </c:numRef>
          </c:val>
          <c:extLst>
            <c:ext xmlns:c16="http://schemas.microsoft.com/office/drawing/2014/chart" uri="{C3380CC4-5D6E-409C-BE32-E72D297353CC}">
              <c16:uniqueId val="{00000000-4183-494C-8E44-6D102AB51D38}"/>
            </c:ext>
          </c:extLst>
        </c:ser>
        <c:dLbls>
          <c:dLblPos val="outEnd"/>
          <c:showLegendKey val="0"/>
          <c:showVal val="1"/>
          <c:showCatName val="0"/>
          <c:showSerName val="0"/>
          <c:showPercent val="0"/>
          <c:showBubbleSize val="0"/>
        </c:dLbls>
        <c:gapWidth val="355"/>
        <c:overlap val="-70"/>
        <c:axId val="1280651711"/>
        <c:axId val="1280654111"/>
      </c:barChart>
      <c:catAx>
        <c:axId val="1280651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80" b="0" i="0" u="none" strike="noStrike" kern="1200" baseline="0">
                <a:solidFill>
                  <a:schemeClr val="accent6">
                    <a:lumMod val="50000"/>
                  </a:schemeClr>
                </a:solidFill>
                <a:latin typeface="+mn-lt"/>
                <a:ea typeface="+mn-ea"/>
                <a:cs typeface="+mn-cs"/>
              </a:defRPr>
            </a:pPr>
            <a:endParaRPr lang="en-US"/>
          </a:p>
        </c:txPr>
        <c:crossAx val="1280654111"/>
        <c:crosses val="autoZero"/>
        <c:auto val="1"/>
        <c:lblAlgn val="ctr"/>
        <c:lblOffset val="100"/>
        <c:noMultiLvlLbl val="0"/>
      </c:catAx>
      <c:valAx>
        <c:axId val="1280654111"/>
        <c:scaling>
          <c:orientation val="minMax"/>
        </c:scaling>
        <c:delete val="1"/>
        <c:axPos val="l"/>
        <c:numFmt formatCode="_(&quot;$&quot;* #,##0_);_(&quot;$&quot;* \(#,##0\);_(&quot;$&quot;* &quot;-&quot;??_);_(@_)" sourceLinked="1"/>
        <c:majorTickMark val="none"/>
        <c:minorTickMark val="none"/>
        <c:tickLblPos val="nextTo"/>
        <c:crossAx val="1280651711"/>
        <c:crosses val="autoZero"/>
        <c:crossBetween val="between"/>
      </c:valAx>
      <c:spPr>
        <a:noFill/>
        <a:ln>
          <a:noFill/>
        </a:ln>
        <a:effectLst/>
      </c:spPr>
    </c:plotArea>
    <c:plotVisOnly val="1"/>
    <c:dispBlanksAs val="gap"/>
    <c:showDLblsOverMax val="0"/>
    <c:extLst/>
  </c:chart>
  <c:spPr>
    <a:no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Yakubu.xlsx]Analysis!PivotTable9</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a:solidFill>
                  <a:schemeClr val="accent6">
                    <a:lumMod val="50000"/>
                  </a:schemeClr>
                </a:solidFill>
              </a:rPr>
              <a:t>PERFORMANCE</a:t>
            </a:r>
            <a:r>
              <a:rPr lang="en-US" sz="1400" b="1" baseline="0">
                <a:solidFill>
                  <a:schemeClr val="accent6">
                    <a:lumMod val="50000"/>
                  </a:schemeClr>
                </a:solidFill>
              </a:rPr>
              <a:t> BY STATUS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wrap="square" lIns="38100" tIns="19050" rIns="38100" bIns="19050" anchor="ctr" anchorCtr="1">
              <a:spAutoFit/>
            </a:bodyPr>
            <a:lstStyle/>
            <a:p>
              <a:pPr>
                <a:defRPr sz="1000" b="0" i="0" u="none" strike="noStrike" kern="1200" baseline="0">
                  <a:ln w="19050">
                    <a:solidFill>
                      <a:schemeClr val="accent6">
                        <a:lumMod val="50000"/>
                      </a:schemeClr>
                    </a:solidFill>
                  </a:ln>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3061417961583E-2"/>
          <c:y val="0.14659685863874344"/>
          <c:w val="0.91617896061911164"/>
          <c:h val="0.72197296387766619"/>
        </c:manualLayout>
      </c:layout>
      <c:barChart>
        <c:barDir val="col"/>
        <c:grouping val="clustered"/>
        <c:varyColors val="0"/>
        <c:ser>
          <c:idx val="0"/>
          <c:order val="0"/>
          <c:tx>
            <c:strRef>
              <c:f>Analysis!$B$32</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wrap="square" lIns="38100" tIns="19050" rIns="38100" bIns="19050" anchor="ctr" anchorCtr="1">
                <a:spAutoFit/>
              </a:bodyPr>
              <a:lstStyle/>
              <a:p>
                <a:pPr>
                  <a:defRPr sz="1000" b="0" i="0" u="none" strike="noStrike" kern="1200" baseline="0">
                    <a:ln w="19050">
                      <a:solidFill>
                        <a:schemeClr val="accent6">
                          <a:lumMod val="50000"/>
                        </a:schemeClr>
                      </a:solidFill>
                    </a:ln>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Analysis!$A$33:$A$35</c:f>
              <c:strCache>
                <c:ptCount val="2"/>
                <c:pt idx="0">
                  <c:v>Active</c:v>
                </c:pt>
                <c:pt idx="1">
                  <c:v>Left</c:v>
                </c:pt>
              </c:strCache>
            </c:strRef>
          </c:cat>
          <c:val>
            <c:numRef>
              <c:f>Analysis!$B$33:$B$35</c:f>
              <c:numCache>
                <c:formatCode>0</c:formatCode>
                <c:ptCount val="2"/>
                <c:pt idx="0">
                  <c:v>67.577586206896555</c:v>
                </c:pt>
                <c:pt idx="1">
                  <c:v>67.25</c:v>
                </c:pt>
              </c:numCache>
            </c:numRef>
          </c:val>
          <c:extLst>
            <c:ext xmlns:c16="http://schemas.microsoft.com/office/drawing/2014/chart" uri="{C3380CC4-5D6E-409C-BE32-E72D297353CC}">
              <c16:uniqueId val="{00000000-F0FE-4C2A-A32F-D9C6C191C6A9}"/>
            </c:ext>
          </c:extLst>
        </c:ser>
        <c:dLbls>
          <c:dLblPos val="outEnd"/>
          <c:showLegendKey val="0"/>
          <c:showVal val="1"/>
          <c:showCatName val="0"/>
          <c:showSerName val="0"/>
          <c:showPercent val="0"/>
          <c:showBubbleSize val="0"/>
        </c:dLbls>
        <c:gapWidth val="100"/>
        <c:overlap val="-24"/>
        <c:axId val="1280651711"/>
        <c:axId val="1280654111"/>
      </c:barChart>
      <c:catAx>
        <c:axId val="1280651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crossAx val="1280654111"/>
        <c:crosses val="autoZero"/>
        <c:auto val="1"/>
        <c:lblAlgn val="ctr"/>
        <c:lblOffset val="100"/>
        <c:noMultiLvlLbl val="0"/>
      </c:catAx>
      <c:valAx>
        <c:axId val="1280654111"/>
        <c:scaling>
          <c:orientation val="minMax"/>
        </c:scaling>
        <c:delete val="1"/>
        <c:axPos val="l"/>
        <c:numFmt formatCode="0" sourceLinked="1"/>
        <c:majorTickMark val="none"/>
        <c:minorTickMark val="none"/>
        <c:tickLblPos val="nextTo"/>
        <c:crossAx val="1280651711"/>
        <c:crosses val="autoZero"/>
        <c:crossBetween val="between"/>
      </c:valAx>
      <c:spPr>
        <a:noFill/>
        <a:ln>
          <a:noFill/>
        </a:ln>
        <a:effectLst/>
      </c:spPr>
    </c:plotArea>
    <c:plotVisOnly val="1"/>
    <c:dispBlanksAs val="gap"/>
    <c:showDLblsOverMax val="0"/>
    <c:extLst/>
  </c:chart>
  <c:spPr>
    <a:no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Yakubu.xlsx]Analysis!PivotTable1</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23007584499908E-2"/>
          <c:y val="9.3738776536684748E-2"/>
          <c:w val="0.79811443718182173"/>
          <c:h val="0.62346652726500473"/>
        </c:manualLayout>
      </c:layout>
      <c:barChart>
        <c:barDir val="col"/>
        <c:grouping val="clustered"/>
        <c:varyColors val="0"/>
        <c:ser>
          <c:idx val="0"/>
          <c:order val="0"/>
          <c:tx>
            <c:strRef>
              <c:f>Analysis!$B$6</c:f>
              <c:strCache>
                <c:ptCount val="1"/>
                <c:pt idx="0">
                  <c:v>Count of Employees</c:v>
                </c:pt>
              </c:strCache>
            </c:strRef>
          </c:tx>
          <c:spPr>
            <a:solidFill>
              <a:schemeClr val="accent6">
                <a:shade val="76000"/>
              </a:schemeClr>
            </a:solidFill>
            <a:ln>
              <a:noFill/>
            </a:ln>
            <a:effectLst/>
          </c:spPr>
          <c:invertIfNegative val="0"/>
          <c:cat>
            <c:strRef>
              <c:f>Analysis!$A$7:$A$13</c:f>
              <c:strCache>
                <c:ptCount val="6"/>
                <c:pt idx="0">
                  <c:v>Information Technology</c:v>
                </c:pt>
                <c:pt idx="1">
                  <c:v>Sales</c:v>
                </c:pt>
                <c:pt idx="2">
                  <c:v>Operations</c:v>
                </c:pt>
                <c:pt idx="3">
                  <c:v>Marketing</c:v>
                </c:pt>
                <c:pt idx="4">
                  <c:v>Human Resources</c:v>
                </c:pt>
                <c:pt idx="5">
                  <c:v>Finance</c:v>
                </c:pt>
              </c:strCache>
            </c:strRef>
          </c:cat>
          <c:val>
            <c:numRef>
              <c:f>Analysis!$B$7:$B$13</c:f>
              <c:numCache>
                <c:formatCode>General</c:formatCode>
                <c:ptCount val="6"/>
                <c:pt idx="0">
                  <c:v>34</c:v>
                </c:pt>
                <c:pt idx="1">
                  <c:v>29</c:v>
                </c:pt>
                <c:pt idx="2">
                  <c:v>24</c:v>
                </c:pt>
                <c:pt idx="3">
                  <c:v>19</c:v>
                </c:pt>
                <c:pt idx="4">
                  <c:v>17</c:v>
                </c:pt>
                <c:pt idx="5">
                  <c:v>17</c:v>
                </c:pt>
              </c:numCache>
            </c:numRef>
          </c:val>
          <c:extLst>
            <c:ext xmlns:c16="http://schemas.microsoft.com/office/drawing/2014/chart" uri="{C3380CC4-5D6E-409C-BE32-E72D297353CC}">
              <c16:uniqueId val="{00000000-9A43-414A-AA7C-6BD2CDB91897}"/>
            </c:ext>
          </c:extLst>
        </c:ser>
        <c:dLbls>
          <c:showLegendKey val="0"/>
          <c:showVal val="0"/>
          <c:showCatName val="0"/>
          <c:showSerName val="0"/>
          <c:showPercent val="0"/>
          <c:showBubbleSize val="0"/>
        </c:dLbls>
        <c:gapWidth val="150"/>
        <c:axId val="1280651711"/>
        <c:axId val="1280654111"/>
      </c:barChart>
      <c:lineChart>
        <c:grouping val="standard"/>
        <c:varyColors val="0"/>
        <c:ser>
          <c:idx val="1"/>
          <c:order val="1"/>
          <c:tx>
            <c:strRef>
              <c:f>Analysis!$C$6</c:f>
              <c:strCache>
                <c:ptCount val="1"/>
                <c:pt idx="0">
                  <c:v>Average of Salary</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Analysis!$A$7:$A$13</c:f>
              <c:strCache>
                <c:ptCount val="6"/>
                <c:pt idx="0">
                  <c:v>Information Technology</c:v>
                </c:pt>
                <c:pt idx="1">
                  <c:v>Sales</c:v>
                </c:pt>
                <c:pt idx="2">
                  <c:v>Operations</c:v>
                </c:pt>
                <c:pt idx="3">
                  <c:v>Marketing</c:v>
                </c:pt>
                <c:pt idx="4">
                  <c:v>Human Resources</c:v>
                </c:pt>
                <c:pt idx="5">
                  <c:v>Finance</c:v>
                </c:pt>
              </c:strCache>
            </c:strRef>
          </c:cat>
          <c:val>
            <c:numRef>
              <c:f>Analysis!$C$7:$C$13</c:f>
              <c:numCache>
                <c:formatCode>_("$"* #,##0_);_("$"* \(#,##0\);_("$"* "-"??_);_(@_)</c:formatCode>
                <c:ptCount val="6"/>
                <c:pt idx="0">
                  <c:v>78738.441176470587</c:v>
                </c:pt>
                <c:pt idx="1">
                  <c:v>82899.137931034478</c:v>
                </c:pt>
                <c:pt idx="2">
                  <c:v>75290.416666666672</c:v>
                </c:pt>
                <c:pt idx="3">
                  <c:v>84821.263157894733</c:v>
                </c:pt>
                <c:pt idx="4">
                  <c:v>86878.76470588235</c:v>
                </c:pt>
                <c:pt idx="5">
                  <c:v>85206.470588235301</c:v>
                </c:pt>
              </c:numCache>
            </c:numRef>
          </c:val>
          <c:smooth val="0"/>
          <c:extLst>
            <c:ext xmlns:c16="http://schemas.microsoft.com/office/drawing/2014/chart" uri="{C3380CC4-5D6E-409C-BE32-E72D297353CC}">
              <c16:uniqueId val="{00000001-9A43-414A-AA7C-6BD2CDB91897}"/>
            </c:ext>
          </c:extLst>
        </c:ser>
        <c:dLbls>
          <c:showLegendKey val="0"/>
          <c:showVal val="0"/>
          <c:showCatName val="0"/>
          <c:showSerName val="0"/>
          <c:showPercent val="0"/>
          <c:showBubbleSize val="0"/>
        </c:dLbls>
        <c:marker val="1"/>
        <c:smooth val="0"/>
        <c:axId val="705302992"/>
        <c:axId val="705303952"/>
      </c:lineChart>
      <c:catAx>
        <c:axId val="128065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4111"/>
        <c:crosses val="autoZero"/>
        <c:auto val="1"/>
        <c:lblAlgn val="ctr"/>
        <c:lblOffset val="100"/>
        <c:noMultiLvlLbl val="0"/>
      </c:catAx>
      <c:valAx>
        <c:axId val="128065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1711"/>
        <c:crosses val="autoZero"/>
        <c:crossBetween val="between"/>
      </c:valAx>
      <c:valAx>
        <c:axId val="705303952"/>
        <c:scaling>
          <c:orientation val="minMax"/>
        </c:scaling>
        <c:delete val="0"/>
        <c:axPos val="r"/>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302992"/>
        <c:crosses val="max"/>
        <c:crossBetween val="between"/>
      </c:valAx>
      <c:catAx>
        <c:axId val="705302992"/>
        <c:scaling>
          <c:orientation val="minMax"/>
        </c:scaling>
        <c:delete val="1"/>
        <c:axPos val="t"/>
        <c:numFmt formatCode="General" sourceLinked="1"/>
        <c:majorTickMark val="none"/>
        <c:minorTickMark val="none"/>
        <c:tickLblPos val="nextTo"/>
        <c:crossAx val="705303952"/>
        <c:crosses val="max"/>
        <c:auto val="1"/>
        <c:lblAlgn val="ctr"/>
        <c:lblOffset val="100"/>
        <c:noMultiLvlLbl val="0"/>
      </c:catAx>
      <c:spPr>
        <a:noFill/>
        <a:ln>
          <a:noFill/>
        </a:ln>
        <a:effectLst/>
      </c:spPr>
    </c:plotArea>
    <c:legend>
      <c:legendPos val="b"/>
      <c:layout>
        <c:manualLayout>
          <c:xMode val="edge"/>
          <c:yMode val="edge"/>
          <c:x val="0.19227361421704989"/>
          <c:y val="0.82194095032726711"/>
          <c:w val="0.61545277156590017"/>
          <c:h val="0.1184212761786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Yakubu.xlsx]Analysis!PivotTable4</c:name>
    <c:fmtId val="0"/>
  </c:pivotSource>
  <c:chart>
    <c:autoTitleDeleted val="1"/>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marker>
          <c:spPr>
            <a:solidFill>
              <a:schemeClr val="accent6"/>
            </a:solidFill>
            <a:ln w="9525" cap="flat" cmpd="sng" algn="ctr">
              <a:solidFill>
                <a:schemeClr val="accent6">
                  <a:shade val="95000"/>
                  <a:satMod val="105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cap="flat" cmpd="sng" algn="ctr">
              <a:solidFill>
                <a:schemeClr val="accent6">
                  <a:shade val="95000"/>
                  <a:satMod val="105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marker>
          <c:spPr>
            <a:solidFill>
              <a:schemeClr val="accent6"/>
            </a:solidFill>
            <a:ln w="9525" cap="flat" cmpd="sng" algn="ctr">
              <a:solidFill>
                <a:schemeClr val="accent6">
                  <a:shade val="95000"/>
                  <a:satMod val="105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01982419561993E-2"/>
          <c:y val="0.12262868474001196"/>
          <c:w val="0.79811443718182173"/>
          <c:h val="0.47372501449165078"/>
        </c:manualLayout>
      </c:layout>
      <c:barChart>
        <c:barDir val="col"/>
        <c:grouping val="clustered"/>
        <c:varyColors val="0"/>
        <c:ser>
          <c:idx val="0"/>
          <c:order val="0"/>
          <c:tx>
            <c:strRef>
              <c:f>Analysis!$G$6</c:f>
              <c:strCache>
                <c:ptCount val="1"/>
                <c:pt idx="0">
                  <c:v>Total</c:v>
                </c:pt>
              </c:strCache>
            </c:strRef>
          </c:tx>
          <c:spPr>
            <a:solidFill>
              <a:schemeClr val="accent6"/>
            </a:solidFill>
            <a:ln>
              <a:noFill/>
            </a:ln>
            <a:effectLst/>
          </c:spPr>
          <c:invertIfNegative val="0"/>
          <c:cat>
            <c:strRef>
              <c:f>Analysis!$F$7:$F$13</c:f>
              <c:strCache>
                <c:ptCount val="6"/>
                <c:pt idx="0">
                  <c:v>Finance</c:v>
                </c:pt>
                <c:pt idx="1">
                  <c:v>Human Resources</c:v>
                </c:pt>
                <c:pt idx="2">
                  <c:v>Information Technology</c:v>
                </c:pt>
                <c:pt idx="3">
                  <c:v>Marketing</c:v>
                </c:pt>
                <c:pt idx="4">
                  <c:v>Operations</c:v>
                </c:pt>
                <c:pt idx="5">
                  <c:v>Sales</c:v>
                </c:pt>
              </c:strCache>
            </c:strRef>
          </c:cat>
          <c:val>
            <c:numRef>
              <c:f>Analysis!$G$7:$G$13</c:f>
              <c:numCache>
                <c:formatCode>0%</c:formatCode>
                <c:ptCount val="6"/>
                <c:pt idx="0">
                  <c:v>0.12142857142857143</c:v>
                </c:pt>
                <c:pt idx="1">
                  <c:v>0.12142857142857143</c:v>
                </c:pt>
                <c:pt idx="2">
                  <c:v>0.24285714285714285</c:v>
                </c:pt>
                <c:pt idx="3">
                  <c:v>0.1357142857142857</c:v>
                </c:pt>
                <c:pt idx="4">
                  <c:v>0.17142857142857143</c:v>
                </c:pt>
                <c:pt idx="5">
                  <c:v>0.20714285714285716</c:v>
                </c:pt>
              </c:numCache>
            </c:numRef>
          </c:val>
          <c:extLst>
            <c:ext xmlns:c16="http://schemas.microsoft.com/office/drawing/2014/chart" uri="{C3380CC4-5D6E-409C-BE32-E72D297353CC}">
              <c16:uniqueId val="{00000005-362B-45D9-9AB1-3D91B3FC7CB0}"/>
            </c:ext>
          </c:extLst>
        </c:ser>
        <c:dLbls>
          <c:showLegendKey val="0"/>
          <c:showVal val="0"/>
          <c:showCatName val="0"/>
          <c:showSerName val="0"/>
          <c:showPercent val="0"/>
          <c:showBubbleSize val="0"/>
        </c:dLbls>
        <c:gapWidth val="150"/>
        <c:axId val="1280651711"/>
        <c:axId val="1280654111"/>
      </c:barChart>
      <c:catAx>
        <c:axId val="128065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4111"/>
        <c:crosses val="autoZero"/>
        <c:auto val="1"/>
        <c:lblAlgn val="ctr"/>
        <c:lblOffset val="100"/>
        <c:noMultiLvlLbl val="0"/>
      </c:catAx>
      <c:valAx>
        <c:axId val="128065411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1711"/>
        <c:crosses val="autoZero"/>
        <c:crossBetween val="between"/>
      </c:valAx>
      <c:spPr>
        <a:solidFill>
          <a:schemeClr val="bg1"/>
        </a:solidFill>
        <a:ln>
          <a:noFill/>
        </a:ln>
        <a:effectLst/>
      </c:spPr>
    </c:plotArea>
    <c:legend>
      <c:legendPos val="b"/>
      <c:layout>
        <c:manualLayout>
          <c:xMode val="edge"/>
          <c:yMode val="edge"/>
          <c:x val="0.19227361421704989"/>
          <c:y val="0.82194095032726711"/>
          <c:w val="0.11505129389453567"/>
          <c:h val="9.59309235042266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Yakubu.xlsx]Analysis!PivotTable9</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accent6">
                    <a:lumMod val="50000"/>
                  </a:schemeClr>
                </a:solidFill>
              </a:rPr>
              <a:t>Performance by Status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53061417961583E-2"/>
          <c:y val="0.14659685863874344"/>
          <c:w val="0.91617896061911164"/>
          <c:h val="0.61454205658847616"/>
        </c:manualLayout>
      </c:layout>
      <c:barChart>
        <c:barDir val="col"/>
        <c:grouping val="clustered"/>
        <c:varyColors val="0"/>
        <c:ser>
          <c:idx val="0"/>
          <c:order val="0"/>
          <c:tx>
            <c:strRef>
              <c:f>Analysis!$B$32</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Analysis!$A$33:$A$35</c:f>
              <c:strCache>
                <c:ptCount val="2"/>
                <c:pt idx="0">
                  <c:v>Active</c:v>
                </c:pt>
                <c:pt idx="1">
                  <c:v>Left</c:v>
                </c:pt>
              </c:strCache>
            </c:strRef>
          </c:cat>
          <c:val>
            <c:numRef>
              <c:f>Analysis!$B$33:$B$35</c:f>
              <c:numCache>
                <c:formatCode>0</c:formatCode>
                <c:ptCount val="2"/>
                <c:pt idx="0">
                  <c:v>67.577586206896555</c:v>
                </c:pt>
                <c:pt idx="1">
                  <c:v>67.25</c:v>
                </c:pt>
              </c:numCache>
            </c:numRef>
          </c:val>
          <c:extLst>
            <c:ext xmlns:c16="http://schemas.microsoft.com/office/drawing/2014/chart" uri="{C3380CC4-5D6E-409C-BE32-E72D297353CC}">
              <c16:uniqueId val="{00000003-B620-45FF-AB1D-DD9894C0CAE0}"/>
            </c:ext>
          </c:extLst>
        </c:ser>
        <c:dLbls>
          <c:dLblPos val="outEnd"/>
          <c:showLegendKey val="0"/>
          <c:showVal val="1"/>
          <c:showCatName val="0"/>
          <c:showSerName val="0"/>
          <c:showPercent val="0"/>
          <c:showBubbleSize val="0"/>
        </c:dLbls>
        <c:gapWidth val="100"/>
        <c:overlap val="-24"/>
        <c:axId val="1280651711"/>
        <c:axId val="1280654111"/>
      </c:barChart>
      <c:catAx>
        <c:axId val="128065171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solidFill>
                      <a:schemeClr val="accent6">
                        <a:lumMod val="50000"/>
                      </a:schemeClr>
                    </a:solidFill>
                  </a:rPr>
                  <a:t>Employment</a:t>
                </a:r>
                <a:r>
                  <a:rPr lang="en-US" baseline="0">
                    <a:solidFill>
                      <a:schemeClr val="accent6">
                        <a:lumMod val="50000"/>
                      </a:schemeClr>
                    </a:solidFill>
                  </a:rPr>
                  <a:t> status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80654111"/>
        <c:crosses val="autoZero"/>
        <c:auto val="1"/>
        <c:lblAlgn val="ctr"/>
        <c:lblOffset val="100"/>
        <c:noMultiLvlLbl val="0"/>
      </c:catAx>
      <c:valAx>
        <c:axId val="1280654111"/>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solidFill>
                      <a:schemeClr val="accent6">
                        <a:lumMod val="50000"/>
                      </a:schemeClr>
                    </a:solidFill>
                  </a:rPr>
                  <a:t>performance</a:t>
                </a:r>
                <a:r>
                  <a:rPr lang="en-US" baseline="0"/>
                  <a:t> </a:t>
                </a:r>
                <a:r>
                  <a:rPr lang="en-US" baseline="0">
                    <a:solidFill>
                      <a:schemeClr val="accent6">
                        <a:lumMod val="50000"/>
                      </a:schemeClr>
                    </a:solidFill>
                  </a:rPr>
                  <a:t>average</a:t>
                </a:r>
                <a:r>
                  <a:rPr lang="en-US"/>
                  <a:t>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crossAx val="128065171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Capstone Completed Rashida Yakubu.xlsx]Analysis!PivotTable10</c:name>
    <c:fmtId val="0"/>
  </c:pivotSource>
  <c:chart>
    <c:autoTitleDeleted val="1"/>
    <c:pivotFmts>
      <c:pivotFmt>
        <c:idx val="0"/>
      </c:pivotFmt>
      <c:pivotFmt>
        <c:idx val="1"/>
      </c:pivotFmt>
      <c:pivotFmt>
        <c:idx val="2"/>
      </c:pivotFmt>
      <c:pivotFmt>
        <c:idx val="3"/>
      </c:pivotFmt>
      <c:pivotFmt>
        <c:idx val="4"/>
      </c:pivotFmt>
      <c:pivotFmt>
        <c:idx val="5"/>
      </c:pivotFmt>
      <c:pivotFmt>
        <c:idx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815464612219766E-2"/>
          <c:y val="2.6105077252529005E-2"/>
          <c:w val="0.88646874841040513"/>
          <c:h val="0.81704057244770489"/>
        </c:manualLayout>
      </c:layout>
      <c:barChart>
        <c:barDir val="col"/>
        <c:grouping val="clustered"/>
        <c:varyColors val="0"/>
        <c:ser>
          <c:idx val="0"/>
          <c:order val="0"/>
          <c:tx>
            <c:strRef>
              <c:f>Analysis!$L$7</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Analysis!$K$8:$K$13</c:f>
              <c:strCache>
                <c:ptCount val="5"/>
                <c:pt idx="0">
                  <c:v>Exceeding</c:v>
                </c:pt>
                <c:pt idx="1">
                  <c:v>Achieving</c:v>
                </c:pt>
                <c:pt idx="2">
                  <c:v>Outstanding</c:v>
                </c:pt>
                <c:pt idx="3">
                  <c:v>Developing</c:v>
                </c:pt>
                <c:pt idx="4">
                  <c:v>Needs Improvement</c:v>
                </c:pt>
              </c:strCache>
            </c:strRef>
          </c:cat>
          <c:val>
            <c:numRef>
              <c:f>Analysis!$L$8:$L$13</c:f>
              <c:numCache>
                <c:formatCode>_("$"* #,##0_);_("$"* \(#,##0\);_("$"* "-"??_);_(@_)</c:formatCode>
                <c:ptCount val="5"/>
                <c:pt idx="0">
                  <c:v>1316600.7999999998</c:v>
                </c:pt>
                <c:pt idx="1">
                  <c:v>160371.40000000002</c:v>
                </c:pt>
                <c:pt idx="2">
                  <c:v>91073.88</c:v>
                </c:pt>
                <c:pt idx="3">
                  <c:v>69012.42</c:v>
                </c:pt>
                <c:pt idx="4">
                  <c:v>0</c:v>
                </c:pt>
              </c:numCache>
            </c:numRef>
          </c:val>
          <c:extLst>
            <c:ext xmlns:c16="http://schemas.microsoft.com/office/drawing/2014/chart" uri="{C3380CC4-5D6E-409C-BE32-E72D297353CC}">
              <c16:uniqueId val="{00000003-511F-41EF-9FD3-6D4AFA99D892}"/>
            </c:ext>
          </c:extLst>
        </c:ser>
        <c:dLbls>
          <c:dLblPos val="outEnd"/>
          <c:showLegendKey val="0"/>
          <c:showVal val="1"/>
          <c:showCatName val="0"/>
          <c:showSerName val="0"/>
          <c:showPercent val="0"/>
          <c:showBubbleSize val="0"/>
        </c:dLbls>
        <c:gapWidth val="355"/>
        <c:overlap val="-70"/>
        <c:axId val="1280651711"/>
        <c:axId val="1280654111"/>
      </c:barChart>
      <c:catAx>
        <c:axId val="128065171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solidFill>
                      <a:schemeClr val="accent6">
                        <a:lumMod val="50000"/>
                      </a:schemeClr>
                    </a:solidFill>
                  </a:rPr>
                  <a:t>PERFOMANCE</a:t>
                </a:r>
                <a:r>
                  <a:rPr lang="en-US" baseline="0">
                    <a:solidFill>
                      <a:schemeClr val="accent6">
                        <a:lumMod val="50000"/>
                      </a:schemeClr>
                    </a:solidFill>
                  </a:rPr>
                  <a:t> BAND</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54111"/>
        <c:crosses val="autoZero"/>
        <c:auto val="1"/>
        <c:lblAlgn val="ctr"/>
        <c:lblOffset val="100"/>
        <c:noMultiLvlLbl val="0"/>
      </c:catAx>
      <c:valAx>
        <c:axId val="1280654111"/>
        <c:scaling>
          <c:orientation val="minMax"/>
        </c:scaling>
        <c:delete val="1"/>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chemeClr val="accent6">
                        <a:lumMod val="50000"/>
                      </a:schemeClr>
                    </a:solidFill>
                  </a:rPr>
                  <a:t>BONUS</a:t>
                </a:r>
                <a:r>
                  <a:rPr lang="en-US" b="1" baseline="0">
                    <a:solidFill>
                      <a:schemeClr val="accent6">
                        <a:lumMod val="50000"/>
                      </a:schemeClr>
                    </a:solidFill>
                  </a:rPr>
                  <a:t> PAYOUT</a:t>
                </a:r>
                <a:endParaRPr lang="en-US" b="1">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1280651711"/>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Cleaned Employee Dataset'!A1"/><Relationship Id="rId5" Type="http://schemas.openxmlformats.org/officeDocument/2006/relationships/hyperlink" Target="#Analysis!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HR Dashboard'!A1"/><Relationship Id="rId5" Type="http://schemas.openxmlformats.org/officeDocument/2006/relationships/hyperlink" Target="#'Cleaned Employee Dataset'!A1"/><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hyperlink" Target="#'HR Dashboard'!A1"/><Relationship Id="rId1"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571500</xdr:colOff>
      <xdr:row>42</xdr:row>
      <xdr:rowOff>51955</xdr:rowOff>
    </xdr:to>
    <xdr:sp macro="" textlink="">
      <xdr:nvSpPr>
        <xdr:cNvPr id="2" name="Rectangle: Rounded Corners 1">
          <a:extLst>
            <a:ext uri="{FF2B5EF4-FFF2-40B4-BE49-F238E27FC236}">
              <a16:creationId xmlns:a16="http://schemas.microsoft.com/office/drawing/2014/main" id="{57E704E0-1EF9-602A-D756-81D2C57C8017}"/>
            </a:ext>
          </a:extLst>
        </xdr:cNvPr>
        <xdr:cNvSpPr/>
      </xdr:nvSpPr>
      <xdr:spPr>
        <a:xfrm>
          <a:off x="0" y="0"/>
          <a:ext cx="13430250" cy="8216241"/>
        </a:xfrm>
        <a:prstGeom prst="roundRect">
          <a:avLst>
            <a:gd name="adj" fmla="val 3105"/>
          </a:avLst>
        </a:prstGeom>
        <a:solidFill>
          <a:srgbClr val="FEF6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17318</xdr:colOff>
      <xdr:row>12</xdr:row>
      <xdr:rowOff>34637</xdr:rowOff>
    </xdr:from>
    <xdr:to>
      <xdr:col>4</xdr:col>
      <xdr:colOff>17319</xdr:colOff>
      <xdr:row>41</xdr:row>
      <xdr:rowOff>155865</xdr:rowOff>
    </xdr:to>
    <xdr:sp macro="" textlink="">
      <xdr:nvSpPr>
        <xdr:cNvPr id="3" name="Rectangle: Rounded Corners 2">
          <a:extLst>
            <a:ext uri="{FF2B5EF4-FFF2-40B4-BE49-F238E27FC236}">
              <a16:creationId xmlns:a16="http://schemas.microsoft.com/office/drawing/2014/main" id="{C605CE37-B687-6004-F009-7821FB563B8D}"/>
            </a:ext>
          </a:extLst>
        </xdr:cNvPr>
        <xdr:cNvSpPr/>
      </xdr:nvSpPr>
      <xdr:spPr>
        <a:xfrm>
          <a:off x="17318" y="2130137"/>
          <a:ext cx="2424546" cy="5645728"/>
        </a:xfrm>
        <a:prstGeom prst="roundRect">
          <a:avLst>
            <a:gd name="adj" fmla="val 6495"/>
          </a:avLst>
        </a:prstGeom>
        <a:solidFill>
          <a:schemeClr val="accent6">
            <a:lumMod val="40000"/>
            <a:lumOff val="6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155863</xdr:rowOff>
    </xdr:from>
    <xdr:to>
      <xdr:col>4</xdr:col>
      <xdr:colOff>103909</xdr:colOff>
      <xdr:row>10</xdr:row>
      <xdr:rowOff>103909</xdr:rowOff>
    </xdr:to>
    <xdr:sp macro="" textlink="">
      <xdr:nvSpPr>
        <xdr:cNvPr id="4" name="Rectangle: Rounded Corners 3">
          <a:extLst>
            <a:ext uri="{FF2B5EF4-FFF2-40B4-BE49-F238E27FC236}">
              <a16:creationId xmlns:a16="http://schemas.microsoft.com/office/drawing/2014/main" id="{1B35C8B2-C36D-3823-7025-4009744FC86A}"/>
            </a:ext>
          </a:extLst>
        </xdr:cNvPr>
        <xdr:cNvSpPr/>
      </xdr:nvSpPr>
      <xdr:spPr>
        <a:xfrm>
          <a:off x="0" y="536863"/>
          <a:ext cx="2528454" cy="128154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436666</xdr:colOff>
      <xdr:row>3</xdr:row>
      <xdr:rowOff>176893</xdr:rowOff>
    </xdr:from>
    <xdr:to>
      <xdr:col>3</xdr:col>
      <xdr:colOff>246166</xdr:colOff>
      <xdr:row>6</xdr:row>
      <xdr:rowOff>21030</xdr:rowOff>
    </xdr:to>
    <xdr:sp macro="" textlink="">
      <xdr:nvSpPr>
        <xdr:cNvPr id="5" name="TextBox 4">
          <a:extLst>
            <a:ext uri="{FF2B5EF4-FFF2-40B4-BE49-F238E27FC236}">
              <a16:creationId xmlns:a16="http://schemas.microsoft.com/office/drawing/2014/main" id="{40207696-854C-11DF-C067-A52937D47BEE}"/>
            </a:ext>
          </a:extLst>
        </xdr:cNvPr>
        <xdr:cNvSpPr txBox="1"/>
      </xdr:nvSpPr>
      <xdr:spPr>
        <a:xfrm>
          <a:off x="436666" y="557893"/>
          <a:ext cx="1646464"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50000"/>
                </a:schemeClr>
              </a:solidFill>
            </a:rPr>
            <a:t>AVERAGE</a:t>
          </a:r>
          <a:r>
            <a:rPr lang="en-US" sz="1400" b="1" baseline="0">
              <a:solidFill>
                <a:schemeClr val="accent6">
                  <a:lumMod val="50000"/>
                </a:schemeClr>
              </a:solidFill>
            </a:rPr>
            <a:t> SALARY</a:t>
          </a:r>
          <a:endParaRPr lang="en-US" sz="1400" b="1">
            <a:solidFill>
              <a:schemeClr val="accent6">
                <a:lumMod val="50000"/>
              </a:schemeClr>
            </a:solidFill>
          </a:endParaRPr>
        </a:p>
      </xdr:txBody>
    </xdr:sp>
    <xdr:clientData/>
  </xdr:twoCellAnchor>
  <xdr:twoCellAnchor>
    <xdr:from>
      <xdr:col>0</xdr:col>
      <xdr:colOff>290945</xdr:colOff>
      <xdr:row>6</xdr:row>
      <xdr:rowOff>31174</xdr:rowOff>
    </xdr:from>
    <xdr:to>
      <xdr:col>3</xdr:col>
      <xdr:colOff>381000</xdr:colOff>
      <xdr:row>10</xdr:row>
      <xdr:rowOff>121228</xdr:rowOff>
    </xdr:to>
    <xdr:sp macro="" textlink="Analysis!G36">
      <xdr:nvSpPr>
        <xdr:cNvPr id="11" name="Rectangle: Rounded Corners 10">
          <a:extLst>
            <a:ext uri="{FF2B5EF4-FFF2-40B4-BE49-F238E27FC236}">
              <a16:creationId xmlns:a16="http://schemas.microsoft.com/office/drawing/2014/main" id="{119F34C3-2C63-4E39-8E82-E24BB58ECCD6}"/>
            </a:ext>
          </a:extLst>
        </xdr:cNvPr>
        <xdr:cNvSpPr/>
      </xdr:nvSpPr>
      <xdr:spPr>
        <a:xfrm>
          <a:off x="290945" y="983674"/>
          <a:ext cx="1908464" cy="852054"/>
        </a:xfrm>
        <a:prstGeom prst="roundRect">
          <a:avLst>
            <a:gd name="adj" fmla="val 47155"/>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3076822-6F48-48EE-B059-A59ACEEAF47F}" type="TxLink">
            <a:rPr lang="en-US" sz="3200" b="1" i="0" u="none" strike="noStrike">
              <a:solidFill>
                <a:schemeClr val="accent6">
                  <a:lumMod val="50000"/>
                </a:schemeClr>
              </a:solidFill>
              <a:latin typeface="Berlin Sans FB Demi" panose="020E0802020502020306" pitchFamily="34" charset="0"/>
              <a:cs typeface="Calibri"/>
            </a:rPr>
            <a:pPr algn="l"/>
            <a:t> $82,118 </a:t>
          </a:fld>
          <a:endParaRPr lang="en-US" sz="3200" b="1">
            <a:solidFill>
              <a:schemeClr val="accent6">
                <a:lumMod val="50000"/>
              </a:schemeClr>
            </a:solidFill>
            <a:latin typeface="Berlin Sans FB Demi" panose="020E0802020502020306" pitchFamily="34" charset="0"/>
          </a:endParaRPr>
        </a:p>
      </xdr:txBody>
    </xdr:sp>
    <xdr:clientData/>
  </xdr:twoCellAnchor>
  <xdr:twoCellAnchor>
    <xdr:from>
      <xdr:col>9</xdr:col>
      <xdr:colOff>204107</xdr:colOff>
      <xdr:row>4</xdr:row>
      <xdr:rowOff>27215</xdr:rowOff>
    </xdr:from>
    <xdr:to>
      <xdr:col>13</xdr:col>
      <xdr:colOff>305542</xdr:colOff>
      <xdr:row>10</xdr:row>
      <xdr:rowOff>79171</xdr:rowOff>
    </xdr:to>
    <xdr:sp macro="" textlink="">
      <xdr:nvSpPr>
        <xdr:cNvPr id="33" name="Rectangle: Rounded Corners 32">
          <a:extLst>
            <a:ext uri="{FF2B5EF4-FFF2-40B4-BE49-F238E27FC236}">
              <a16:creationId xmlns:a16="http://schemas.microsoft.com/office/drawing/2014/main" id="{333351A3-A0CA-41AE-9253-C9B3294EBCB9}"/>
            </a:ext>
          </a:extLst>
        </xdr:cNvPr>
        <xdr:cNvSpPr/>
      </xdr:nvSpPr>
      <xdr:spPr>
        <a:xfrm>
          <a:off x="5715000" y="952501"/>
          <a:ext cx="2550721" cy="119495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231321</xdr:colOff>
      <xdr:row>4</xdr:row>
      <xdr:rowOff>6185</xdr:rowOff>
    </xdr:from>
    <xdr:to>
      <xdr:col>9</xdr:col>
      <xdr:colOff>27214</xdr:colOff>
      <xdr:row>10</xdr:row>
      <xdr:rowOff>110094</xdr:rowOff>
    </xdr:to>
    <xdr:sp macro="" textlink="">
      <xdr:nvSpPr>
        <xdr:cNvPr id="36" name="Rectangle: Rounded Corners 35">
          <a:extLst>
            <a:ext uri="{FF2B5EF4-FFF2-40B4-BE49-F238E27FC236}">
              <a16:creationId xmlns:a16="http://schemas.microsoft.com/office/drawing/2014/main" id="{463B6D20-152A-41FA-86A7-F3B1DC1AE541}"/>
            </a:ext>
          </a:extLst>
        </xdr:cNvPr>
        <xdr:cNvSpPr/>
      </xdr:nvSpPr>
      <xdr:spPr>
        <a:xfrm>
          <a:off x="2680607" y="931471"/>
          <a:ext cx="2857500" cy="124690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519544</xdr:colOff>
      <xdr:row>3</xdr:row>
      <xdr:rowOff>173182</xdr:rowOff>
    </xdr:from>
    <xdr:to>
      <xdr:col>18</xdr:col>
      <xdr:colOff>17316</xdr:colOff>
      <xdr:row>10</xdr:row>
      <xdr:rowOff>69272</xdr:rowOff>
    </xdr:to>
    <xdr:sp macro="" textlink="">
      <xdr:nvSpPr>
        <xdr:cNvPr id="38" name="Rectangle: Rounded Corners 37">
          <a:extLst>
            <a:ext uri="{FF2B5EF4-FFF2-40B4-BE49-F238E27FC236}">
              <a16:creationId xmlns:a16="http://schemas.microsoft.com/office/drawing/2014/main" id="{DB69680A-6302-416E-8E36-662248998B4D}"/>
            </a:ext>
          </a:extLst>
        </xdr:cNvPr>
        <xdr:cNvSpPr/>
      </xdr:nvSpPr>
      <xdr:spPr>
        <a:xfrm>
          <a:off x="8399317" y="554182"/>
          <a:ext cx="2528454" cy="12295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86592</xdr:colOff>
      <xdr:row>6</xdr:row>
      <xdr:rowOff>34636</xdr:rowOff>
    </xdr:from>
    <xdr:to>
      <xdr:col>17</xdr:col>
      <xdr:colOff>536863</xdr:colOff>
      <xdr:row>10</xdr:row>
      <xdr:rowOff>34633</xdr:rowOff>
    </xdr:to>
    <xdr:sp macro="" textlink="Analysis!G42">
      <xdr:nvSpPr>
        <xdr:cNvPr id="31" name="Rectangle: Rounded Corners 30">
          <a:extLst>
            <a:ext uri="{FF2B5EF4-FFF2-40B4-BE49-F238E27FC236}">
              <a16:creationId xmlns:a16="http://schemas.microsoft.com/office/drawing/2014/main" id="{5F8B2095-D985-412E-B994-0549FA7C0A8E}"/>
            </a:ext>
          </a:extLst>
        </xdr:cNvPr>
        <xdr:cNvSpPr/>
      </xdr:nvSpPr>
      <xdr:spPr>
        <a:xfrm>
          <a:off x="8572501" y="987136"/>
          <a:ext cx="2268680" cy="761997"/>
        </a:xfrm>
        <a:prstGeom prst="roundRect">
          <a:avLst>
            <a:gd name="adj" fmla="val 47155"/>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79DEB10-05D3-4818-9728-44EA7564BB5C}" type="TxLink">
            <a:rPr lang="en-US" sz="3200" b="1" i="0" u="none" strike="noStrike">
              <a:solidFill>
                <a:schemeClr val="accent6">
                  <a:lumMod val="50000"/>
                </a:schemeClr>
              </a:solidFill>
              <a:latin typeface="Berlin Sans FB Demi" panose="020E0802020502020306" pitchFamily="34" charset="0"/>
              <a:cs typeface="Calibri"/>
            </a:rPr>
            <a:pPr algn="l"/>
            <a:t>$12,317,651 </a:t>
          </a:fld>
          <a:endParaRPr lang="en-US" sz="3200" b="1">
            <a:solidFill>
              <a:schemeClr val="accent6">
                <a:lumMod val="50000"/>
              </a:schemeClr>
            </a:solidFill>
            <a:latin typeface="Berlin Sans FB Demi" panose="020E0802020502020306" pitchFamily="34" charset="0"/>
          </a:endParaRPr>
        </a:p>
      </xdr:txBody>
    </xdr:sp>
    <xdr:clientData/>
  </xdr:twoCellAnchor>
  <xdr:twoCellAnchor>
    <xdr:from>
      <xdr:col>10</xdr:col>
      <xdr:colOff>272145</xdr:colOff>
      <xdr:row>5</xdr:row>
      <xdr:rowOff>168481</xdr:rowOff>
    </xdr:from>
    <xdr:to>
      <xdr:col>12</xdr:col>
      <xdr:colOff>312966</xdr:colOff>
      <xdr:row>10</xdr:row>
      <xdr:rowOff>68035</xdr:rowOff>
    </xdr:to>
    <xdr:sp macro="" textlink="Analysis!G40">
      <xdr:nvSpPr>
        <xdr:cNvPr id="23" name="Rectangle: Rounded Corners 22">
          <a:extLst>
            <a:ext uri="{FF2B5EF4-FFF2-40B4-BE49-F238E27FC236}">
              <a16:creationId xmlns:a16="http://schemas.microsoft.com/office/drawing/2014/main" id="{A70AE4A3-BC31-4DB9-AE92-A959F91972FC}"/>
            </a:ext>
          </a:extLst>
        </xdr:cNvPr>
        <xdr:cNvSpPr/>
      </xdr:nvSpPr>
      <xdr:spPr>
        <a:xfrm>
          <a:off x="6395359" y="1284267"/>
          <a:ext cx="1265464" cy="852054"/>
        </a:xfrm>
        <a:prstGeom prst="roundRect">
          <a:avLst>
            <a:gd name="adj" fmla="val 47155"/>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AA16069-39D2-4F79-9A82-27061DD53DB2}" type="TxLink">
            <a:rPr lang="en-US" sz="3200" b="1" i="0" u="none" strike="noStrike">
              <a:solidFill>
                <a:schemeClr val="accent6">
                  <a:lumMod val="50000"/>
                </a:schemeClr>
              </a:solidFill>
              <a:latin typeface="Berlin Sans FB Demi" panose="020E0802020502020306" pitchFamily="34" charset="0"/>
              <a:cs typeface="Calibri"/>
            </a:rPr>
            <a:pPr algn="l"/>
            <a:t>24%</a:t>
          </a:fld>
          <a:endParaRPr lang="en-US" sz="3200" b="1">
            <a:solidFill>
              <a:schemeClr val="accent6">
                <a:lumMod val="50000"/>
              </a:schemeClr>
            </a:solidFill>
            <a:latin typeface="Berlin Sans FB Demi" panose="020E0802020502020306" pitchFamily="34" charset="0"/>
          </a:endParaRPr>
        </a:p>
      </xdr:txBody>
    </xdr:sp>
    <xdr:clientData/>
  </xdr:twoCellAnchor>
  <xdr:twoCellAnchor>
    <xdr:from>
      <xdr:col>4</xdr:col>
      <xdr:colOff>441614</xdr:colOff>
      <xdr:row>6</xdr:row>
      <xdr:rowOff>17319</xdr:rowOff>
    </xdr:from>
    <xdr:to>
      <xdr:col>8</xdr:col>
      <xdr:colOff>493568</xdr:colOff>
      <xdr:row>10</xdr:row>
      <xdr:rowOff>86592</xdr:rowOff>
    </xdr:to>
    <xdr:sp macro="" textlink="Analysis!G38">
      <xdr:nvSpPr>
        <xdr:cNvPr id="27" name="Rectangle: Rounded Corners 26">
          <a:extLst>
            <a:ext uri="{FF2B5EF4-FFF2-40B4-BE49-F238E27FC236}">
              <a16:creationId xmlns:a16="http://schemas.microsoft.com/office/drawing/2014/main" id="{428CAA20-3074-4061-9E6C-B45DF7CBD4EC}"/>
            </a:ext>
          </a:extLst>
        </xdr:cNvPr>
        <xdr:cNvSpPr/>
      </xdr:nvSpPr>
      <xdr:spPr>
        <a:xfrm>
          <a:off x="2890900" y="1323605"/>
          <a:ext cx="2501239" cy="831273"/>
        </a:xfrm>
        <a:prstGeom prst="roundRect">
          <a:avLst>
            <a:gd name="adj" fmla="val 47155"/>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119BF8-3B79-44FB-BA6C-69EF8EE0C990}" type="TxLink">
            <a:rPr lang="en-US" sz="3200" b="1" i="0" u="none" strike="noStrike">
              <a:solidFill>
                <a:schemeClr val="accent6">
                  <a:lumMod val="50000"/>
                </a:schemeClr>
              </a:solidFill>
              <a:latin typeface="Berlin Sans FB Demi" panose="020E0802020502020306" pitchFamily="34" charset="0"/>
              <a:cs typeface="Calibri"/>
            </a:rPr>
            <a:pPr algn="l"/>
            <a:t> $1,895,808 </a:t>
          </a:fld>
          <a:endParaRPr lang="en-US" sz="3200">
            <a:solidFill>
              <a:schemeClr val="accent6">
                <a:lumMod val="50000"/>
              </a:schemeClr>
            </a:solidFill>
            <a:latin typeface="Berlin Sans FB Demi" panose="020E0802020502020306" pitchFamily="34" charset="0"/>
          </a:endParaRPr>
        </a:p>
      </xdr:txBody>
    </xdr:sp>
    <xdr:clientData/>
  </xdr:twoCellAnchor>
  <xdr:twoCellAnchor>
    <xdr:from>
      <xdr:col>5</xdr:col>
      <xdr:colOff>90054</xdr:colOff>
      <xdr:row>4</xdr:row>
      <xdr:rowOff>0</xdr:rowOff>
    </xdr:from>
    <xdr:to>
      <xdr:col>8</xdr:col>
      <xdr:colOff>17318</xdr:colOff>
      <xdr:row>6</xdr:row>
      <xdr:rowOff>34637</xdr:rowOff>
    </xdr:to>
    <xdr:sp macro="" textlink="">
      <xdr:nvSpPr>
        <xdr:cNvPr id="26" name="TextBox 25">
          <a:extLst>
            <a:ext uri="{FF2B5EF4-FFF2-40B4-BE49-F238E27FC236}">
              <a16:creationId xmlns:a16="http://schemas.microsoft.com/office/drawing/2014/main" id="{4B516864-9BD4-4D1D-BD09-1E6DA8E1D186}"/>
            </a:ext>
          </a:extLst>
        </xdr:cNvPr>
        <xdr:cNvSpPr txBox="1"/>
      </xdr:nvSpPr>
      <xdr:spPr>
        <a:xfrm>
          <a:off x="3120736" y="571500"/>
          <a:ext cx="1745673"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50000"/>
                </a:schemeClr>
              </a:solidFill>
            </a:rPr>
            <a:t>SUM</a:t>
          </a:r>
          <a:r>
            <a:rPr lang="en-US" sz="1400" b="1" baseline="0">
              <a:solidFill>
                <a:schemeClr val="accent6">
                  <a:lumMod val="50000"/>
                </a:schemeClr>
              </a:solidFill>
            </a:rPr>
            <a:t> OF BUNUS PAID</a:t>
          </a:r>
          <a:endParaRPr lang="en-US" sz="1400" b="1">
            <a:solidFill>
              <a:schemeClr val="accent6">
                <a:lumMod val="50000"/>
              </a:schemeClr>
            </a:solidFill>
          </a:endParaRPr>
        </a:p>
      </xdr:txBody>
    </xdr:sp>
    <xdr:clientData/>
  </xdr:twoCellAnchor>
  <xdr:twoCellAnchor>
    <xdr:from>
      <xdr:col>9</xdr:col>
      <xdr:colOff>275608</xdr:colOff>
      <xdr:row>4</xdr:row>
      <xdr:rowOff>70510</xdr:rowOff>
    </xdr:from>
    <xdr:to>
      <xdr:col>13</xdr:col>
      <xdr:colOff>176894</xdr:colOff>
      <xdr:row>6</xdr:row>
      <xdr:rowOff>105147</xdr:rowOff>
    </xdr:to>
    <xdr:sp macro="" textlink="">
      <xdr:nvSpPr>
        <xdr:cNvPr id="22" name="TextBox 21">
          <a:extLst>
            <a:ext uri="{FF2B5EF4-FFF2-40B4-BE49-F238E27FC236}">
              <a16:creationId xmlns:a16="http://schemas.microsoft.com/office/drawing/2014/main" id="{DBEF9C3C-6363-4F0C-BED3-9369E8C47F3B}"/>
            </a:ext>
          </a:extLst>
        </xdr:cNvPr>
        <xdr:cNvSpPr txBox="1"/>
      </xdr:nvSpPr>
      <xdr:spPr>
        <a:xfrm>
          <a:off x="5786501" y="995796"/>
          <a:ext cx="2350572"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50000"/>
                </a:schemeClr>
              </a:solidFill>
            </a:rPr>
            <a:t>HIGHEST</a:t>
          </a:r>
          <a:r>
            <a:rPr lang="en-US" sz="1400" b="1" baseline="0">
              <a:solidFill>
                <a:schemeClr val="accent6">
                  <a:lumMod val="50000"/>
                </a:schemeClr>
              </a:solidFill>
            </a:rPr>
            <a:t>  ATTRITION RATE</a:t>
          </a:r>
        </a:p>
      </xdr:txBody>
    </xdr:sp>
    <xdr:clientData/>
  </xdr:twoCellAnchor>
  <xdr:twoCellAnchor>
    <xdr:from>
      <xdr:col>14</xdr:col>
      <xdr:colOff>200149</xdr:colOff>
      <xdr:row>4</xdr:row>
      <xdr:rowOff>58140</xdr:rowOff>
    </xdr:from>
    <xdr:to>
      <xdr:col>17</xdr:col>
      <xdr:colOff>108857</xdr:colOff>
      <xdr:row>6</xdr:row>
      <xdr:rowOff>92777</xdr:rowOff>
    </xdr:to>
    <xdr:sp macro="" textlink="">
      <xdr:nvSpPr>
        <xdr:cNvPr id="30" name="TextBox 29">
          <a:extLst>
            <a:ext uri="{FF2B5EF4-FFF2-40B4-BE49-F238E27FC236}">
              <a16:creationId xmlns:a16="http://schemas.microsoft.com/office/drawing/2014/main" id="{D97D0B95-DC15-4FB4-AA77-A3C0463C15B6}"/>
            </a:ext>
          </a:extLst>
        </xdr:cNvPr>
        <xdr:cNvSpPr txBox="1"/>
      </xdr:nvSpPr>
      <xdr:spPr>
        <a:xfrm>
          <a:off x="8772649" y="629640"/>
          <a:ext cx="1745672"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lumMod val="50000"/>
                </a:schemeClr>
              </a:solidFill>
            </a:rPr>
            <a:t>TOTAL</a:t>
          </a:r>
          <a:r>
            <a:rPr lang="en-US" sz="1400" b="1" baseline="0">
              <a:solidFill>
                <a:schemeClr val="accent6">
                  <a:lumMod val="50000"/>
                </a:schemeClr>
              </a:solidFill>
            </a:rPr>
            <a:t> PAID SALARY</a:t>
          </a:r>
        </a:p>
        <a:p>
          <a:pPr algn="ctr"/>
          <a:endParaRPr lang="en-US" sz="1400">
            <a:solidFill>
              <a:schemeClr val="accent6">
                <a:lumMod val="50000"/>
              </a:schemeClr>
            </a:solidFill>
          </a:endParaRPr>
        </a:p>
      </xdr:txBody>
    </xdr:sp>
    <xdr:clientData/>
  </xdr:twoCellAnchor>
  <xdr:twoCellAnchor>
    <xdr:from>
      <xdr:col>6</xdr:col>
      <xdr:colOff>304307</xdr:colOff>
      <xdr:row>0</xdr:row>
      <xdr:rowOff>13607</xdr:rowOff>
    </xdr:from>
    <xdr:to>
      <xdr:col>16</xdr:col>
      <xdr:colOff>508001</xdr:colOff>
      <xdr:row>3</xdr:row>
      <xdr:rowOff>82880</xdr:rowOff>
    </xdr:to>
    <xdr:sp macro="" textlink="">
      <xdr:nvSpPr>
        <xdr:cNvPr id="8" name="TextBox 7">
          <a:extLst>
            <a:ext uri="{FF2B5EF4-FFF2-40B4-BE49-F238E27FC236}">
              <a16:creationId xmlns:a16="http://schemas.microsoft.com/office/drawing/2014/main" id="{68273CB4-4BA6-A1E4-DAB8-546F8937D73D}"/>
            </a:ext>
          </a:extLst>
        </xdr:cNvPr>
        <xdr:cNvSpPr txBox="1"/>
      </xdr:nvSpPr>
      <xdr:spPr>
        <a:xfrm>
          <a:off x="3923807" y="13607"/>
          <a:ext cx="6236194" cy="799523"/>
        </a:xfrm>
        <a:prstGeom prst="rect">
          <a:avLst/>
        </a:prstGeom>
        <a:solidFill>
          <a:schemeClr val="accent6">
            <a:lumMod val="50000"/>
          </a:schemeClr>
        </a:solidFill>
        <a:ln w="9525" cmpd="sng">
          <a:solidFill>
            <a:srgbClr val="FEF6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0">
              <a:solidFill>
                <a:schemeClr val="accent6">
                  <a:lumMod val="20000"/>
                  <a:lumOff val="80000"/>
                </a:schemeClr>
              </a:solidFill>
              <a:latin typeface="Algerian" panose="04020705040A02060702" pitchFamily="82" charset="0"/>
            </a:rPr>
            <a:t>HUMAN</a:t>
          </a:r>
          <a:r>
            <a:rPr lang="en-US" sz="3200" b="1" i="0" baseline="0">
              <a:solidFill>
                <a:schemeClr val="accent6">
                  <a:lumMod val="20000"/>
                  <a:lumOff val="80000"/>
                </a:schemeClr>
              </a:solidFill>
              <a:latin typeface="Algerian" panose="04020705040A02060702" pitchFamily="82" charset="0"/>
            </a:rPr>
            <a:t> RESOURCE DASHBOARD</a:t>
          </a:r>
          <a:endParaRPr lang="en-US" sz="3200" b="1" i="0">
            <a:solidFill>
              <a:schemeClr val="accent6">
                <a:lumMod val="20000"/>
                <a:lumOff val="80000"/>
              </a:schemeClr>
            </a:solidFill>
            <a:latin typeface="Algerian" panose="04020705040A02060702" pitchFamily="82" charset="0"/>
          </a:endParaRPr>
        </a:p>
      </xdr:txBody>
    </xdr:sp>
    <xdr:clientData/>
  </xdr:twoCellAnchor>
  <xdr:twoCellAnchor editAs="oneCell">
    <xdr:from>
      <xdr:col>0</xdr:col>
      <xdr:colOff>121227</xdr:colOff>
      <xdr:row>13</xdr:row>
      <xdr:rowOff>138545</xdr:rowOff>
    </xdr:from>
    <xdr:to>
      <xdr:col>3</xdr:col>
      <xdr:colOff>519546</xdr:colOff>
      <xdr:row>24</xdr:row>
      <xdr:rowOff>51954</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736E8D8B-D6FC-4119-808B-5B990A11B0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1227" y="2770909"/>
              <a:ext cx="2216728" cy="2008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121227</xdr:colOff>
      <xdr:row>24</xdr:row>
      <xdr:rowOff>119990</xdr:rowOff>
    </xdr:from>
    <xdr:to>
      <xdr:col>3</xdr:col>
      <xdr:colOff>536863</xdr:colOff>
      <xdr:row>30</xdr:row>
      <xdr:rowOff>155863</xdr:rowOff>
    </xdr:to>
    <mc:AlternateContent xmlns:mc="http://schemas.openxmlformats.org/markup-compatibility/2006" xmlns:a14="http://schemas.microsoft.com/office/drawing/2010/main">
      <mc:Choice Requires="a14">
        <xdr:graphicFrame macro="">
          <xdr:nvGraphicFramePr>
            <xdr:cNvPr id="14" name="Employment Status">
              <a:extLst>
                <a:ext uri="{FF2B5EF4-FFF2-40B4-BE49-F238E27FC236}">
                  <a16:creationId xmlns:a16="http://schemas.microsoft.com/office/drawing/2014/main" id="{14431C2B-6370-4D77-91A3-C3BD94001140}"/>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121227" y="4847854"/>
              <a:ext cx="2234045" cy="1178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155864</xdr:colOff>
      <xdr:row>32</xdr:row>
      <xdr:rowOff>51956</xdr:rowOff>
    </xdr:from>
    <xdr:to>
      <xdr:col>3</xdr:col>
      <xdr:colOff>484909</xdr:colOff>
      <xdr:row>41</xdr:row>
      <xdr:rowOff>86592</xdr:rowOff>
    </xdr:to>
    <mc:AlternateContent xmlns:mc="http://schemas.openxmlformats.org/markup-compatibility/2006" xmlns:a14="http://schemas.microsoft.com/office/drawing/2010/main">
      <mc:Choice Requires="a14">
        <xdr:graphicFrame macro="">
          <xdr:nvGraphicFramePr>
            <xdr:cNvPr id="16" name="Performace Band">
              <a:extLst>
                <a:ext uri="{FF2B5EF4-FFF2-40B4-BE49-F238E27FC236}">
                  <a16:creationId xmlns:a16="http://schemas.microsoft.com/office/drawing/2014/main" id="{B17A75C0-DDC0-41D8-B870-20F3782E011D}"/>
                </a:ext>
              </a:extLst>
            </xdr:cNvPr>
            <xdr:cNvGraphicFramePr/>
          </xdr:nvGraphicFramePr>
          <xdr:xfrm>
            <a:off x="0" y="0"/>
            <a:ext cx="0" cy="0"/>
          </xdr:xfrm>
          <a:graphic>
            <a:graphicData uri="http://schemas.microsoft.com/office/drawing/2010/slicer">
              <sle:slicer xmlns:sle="http://schemas.microsoft.com/office/drawing/2010/slicer" name="Performace Band"/>
            </a:graphicData>
          </a:graphic>
        </xdr:graphicFrame>
      </mc:Choice>
      <mc:Fallback xmlns="">
        <xdr:sp macro="" textlink="">
          <xdr:nvSpPr>
            <xdr:cNvPr id="0" name=""/>
            <xdr:cNvSpPr>
              <a:spLocks noTextEdit="1"/>
            </xdr:cNvSpPr>
          </xdr:nvSpPr>
          <xdr:spPr>
            <a:xfrm>
              <a:off x="155864" y="6303820"/>
              <a:ext cx="2147454" cy="1749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86589</xdr:colOff>
      <xdr:row>3</xdr:row>
      <xdr:rowOff>121227</xdr:rowOff>
    </xdr:from>
    <xdr:to>
      <xdr:col>21</xdr:col>
      <xdr:colOff>502225</xdr:colOff>
      <xdr:row>10</xdr:row>
      <xdr:rowOff>34636</xdr:rowOff>
    </xdr:to>
    <xdr:sp macro="" textlink="">
      <xdr:nvSpPr>
        <xdr:cNvPr id="24" name="Rectangle: Rounded Corners 23">
          <a:extLst>
            <a:ext uri="{FF2B5EF4-FFF2-40B4-BE49-F238E27FC236}">
              <a16:creationId xmlns:a16="http://schemas.microsoft.com/office/drawing/2014/main" id="{5BE2765C-53CB-4E52-A417-14E522F819C8}"/>
            </a:ext>
          </a:extLst>
        </xdr:cNvPr>
        <xdr:cNvSpPr/>
      </xdr:nvSpPr>
      <xdr:spPr>
        <a:xfrm>
          <a:off x="10997044" y="502227"/>
          <a:ext cx="2234045" cy="124690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571498</xdr:colOff>
      <xdr:row>5</xdr:row>
      <xdr:rowOff>173183</xdr:rowOff>
    </xdr:from>
    <xdr:to>
      <xdr:col>21</xdr:col>
      <xdr:colOff>0</xdr:colOff>
      <xdr:row>10</xdr:row>
      <xdr:rowOff>51956</xdr:rowOff>
    </xdr:to>
    <xdr:sp macro="" textlink="Analysis!G44">
      <xdr:nvSpPr>
        <xdr:cNvPr id="25" name="Rectangle: Rounded Corners 24">
          <a:extLst>
            <a:ext uri="{FF2B5EF4-FFF2-40B4-BE49-F238E27FC236}">
              <a16:creationId xmlns:a16="http://schemas.microsoft.com/office/drawing/2014/main" id="{CF7347C1-C016-43FA-BE44-9BF137DAE572}"/>
            </a:ext>
          </a:extLst>
        </xdr:cNvPr>
        <xdr:cNvSpPr/>
      </xdr:nvSpPr>
      <xdr:spPr>
        <a:xfrm>
          <a:off x="11481953" y="935183"/>
          <a:ext cx="1246911" cy="831273"/>
        </a:xfrm>
        <a:prstGeom prst="roundRect">
          <a:avLst>
            <a:gd name="adj" fmla="val 47155"/>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E6FF982-3730-4056-8FC2-717C8E79C767}" type="TxLink">
            <a:rPr lang="en-US" sz="3200" b="1" i="0" u="none" strike="noStrike">
              <a:solidFill>
                <a:schemeClr val="accent6">
                  <a:lumMod val="50000"/>
                </a:schemeClr>
              </a:solidFill>
              <a:latin typeface="Berlin Sans FB Demi" panose="020E0802020502020306" pitchFamily="34" charset="0"/>
              <a:cs typeface="Calibri"/>
            </a:rPr>
            <a:pPr algn="l"/>
            <a:t>150</a:t>
          </a:fld>
          <a:endParaRPr lang="en-US" sz="3200" b="1">
            <a:solidFill>
              <a:schemeClr val="accent6">
                <a:lumMod val="50000"/>
              </a:schemeClr>
            </a:solidFill>
            <a:latin typeface="Berlin Sans FB Demi" panose="020E0802020502020306" pitchFamily="34" charset="0"/>
          </a:endParaRPr>
        </a:p>
      </xdr:txBody>
    </xdr:sp>
    <xdr:clientData/>
  </xdr:twoCellAnchor>
  <xdr:twoCellAnchor>
    <xdr:from>
      <xdr:col>18</xdr:col>
      <xdr:colOff>121227</xdr:colOff>
      <xdr:row>3</xdr:row>
      <xdr:rowOff>155864</xdr:rowOff>
    </xdr:from>
    <xdr:to>
      <xdr:col>21</xdr:col>
      <xdr:colOff>398318</xdr:colOff>
      <xdr:row>6</xdr:row>
      <xdr:rowOff>1</xdr:rowOff>
    </xdr:to>
    <xdr:sp macro="" textlink="">
      <xdr:nvSpPr>
        <xdr:cNvPr id="28" name="TextBox 27">
          <a:extLst>
            <a:ext uri="{FF2B5EF4-FFF2-40B4-BE49-F238E27FC236}">
              <a16:creationId xmlns:a16="http://schemas.microsoft.com/office/drawing/2014/main" id="{DC671F6E-F5BC-4EB3-A8B2-F49081D16805}"/>
            </a:ext>
          </a:extLst>
        </xdr:cNvPr>
        <xdr:cNvSpPr txBox="1"/>
      </xdr:nvSpPr>
      <xdr:spPr>
        <a:xfrm>
          <a:off x="11031682" y="536864"/>
          <a:ext cx="2095500" cy="415637"/>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accent6">
                  <a:lumMod val="50000"/>
                </a:schemeClr>
              </a:solidFill>
            </a:rPr>
            <a:t>TOTAL EMPLOYEES</a:t>
          </a:r>
          <a:endParaRPr lang="en-US" sz="1400" b="1">
            <a:solidFill>
              <a:schemeClr val="accent6">
                <a:lumMod val="50000"/>
              </a:schemeClr>
            </a:solidFill>
          </a:endParaRPr>
        </a:p>
      </xdr:txBody>
    </xdr:sp>
    <xdr:clientData/>
  </xdr:twoCellAnchor>
  <xdr:twoCellAnchor>
    <xdr:from>
      <xdr:col>4</xdr:col>
      <xdr:colOff>207818</xdr:colOff>
      <xdr:row>12</xdr:row>
      <xdr:rowOff>51955</xdr:rowOff>
    </xdr:from>
    <xdr:to>
      <xdr:col>11</xdr:col>
      <xdr:colOff>225136</xdr:colOff>
      <xdr:row>26</xdr:row>
      <xdr:rowOff>103908</xdr:rowOff>
    </xdr:to>
    <xdr:graphicFrame macro="">
      <xdr:nvGraphicFramePr>
        <xdr:cNvPr id="32" name="Chart 31">
          <a:extLst>
            <a:ext uri="{FF2B5EF4-FFF2-40B4-BE49-F238E27FC236}">
              <a16:creationId xmlns:a16="http://schemas.microsoft.com/office/drawing/2014/main" id="{A855E88C-8830-4029-89A5-1B1729103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450273</xdr:colOff>
      <xdr:row>12</xdr:row>
      <xdr:rowOff>47625</xdr:rowOff>
    </xdr:from>
    <xdr:to>
      <xdr:col>18</xdr:col>
      <xdr:colOff>122464</xdr:colOff>
      <xdr:row>26</xdr:row>
      <xdr:rowOff>103909</xdr:rowOff>
    </xdr:to>
    <xdr:graphicFrame macro="">
      <xdr:nvGraphicFramePr>
        <xdr:cNvPr id="37" name="Chart 36">
          <a:extLst>
            <a:ext uri="{FF2B5EF4-FFF2-40B4-BE49-F238E27FC236}">
              <a16:creationId xmlns:a16="http://schemas.microsoft.com/office/drawing/2014/main" id="{8B32167D-08AD-4A51-BD47-0F7B399C6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225136</xdr:colOff>
      <xdr:row>26</xdr:row>
      <xdr:rowOff>190499</xdr:rowOff>
    </xdr:from>
    <xdr:to>
      <xdr:col>11</xdr:col>
      <xdr:colOff>225137</xdr:colOff>
      <xdr:row>41</xdr:row>
      <xdr:rowOff>138545</xdr:rowOff>
    </xdr:to>
    <xdr:graphicFrame macro="">
      <xdr:nvGraphicFramePr>
        <xdr:cNvPr id="40" name="Chart 39">
          <a:extLst>
            <a:ext uri="{FF2B5EF4-FFF2-40B4-BE49-F238E27FC236}">
              <a16:creationId xmlns:a16="http://schemas.microsoft.com/office/drawing/2014/main" id="{825768D1-6331-4629-BE90-BD7614968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432956</xdr:colOff>
      <xdr:row>27</xdr:row>
      <xdr:rowOff>34636</xdr:rowOff>
    </xdr:from>
    <xdr:to>
      <xdr:col>18</xdr:col>
      <xdr:colOff>119063</xdr:colOff>
      <xdr:row>41</xdr:row>
      <xdr:rowOff>149679</xdr:rowOff>
    </xdr:to>
    <xdr:graphicFrame macro="">
      <xdr:nvGraphicFramePr>
        <xdr:cNvPr id="42" name="Chart 41">
          <a:extLst>
            <a:ext uri="{FF2B5EF4-FFF2-40B4-BE49-F238E27FC236}">
              <a16:creationId xmlns:a16="http://schemas.microsoft.com/office/drawing/2014/main" id="{2100C2A1-B7C5-4EE8-9984-17539CAC1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312963</xdr:colOff>
      <xdr:row>20</xdr:row>
      <xdr:rowOff>53652</xdr:rowOff>
    </xdr:from>
    <xdr:to>
      <xdr:col>21</xdr:col>
      <xdr:colOff>585107</xdr:colOff>
      <xdr:row>42</xdr:row>
      <xdr:rowOff>27213</xdr:rowOff>
    </xdr:to>
    <xdr:grpSp>
      <xdr:nvGrpSpPr>
        <xdr:cNvPr id="6" name="Group 5">
          <a:extLst>
            <a:ext uri="{FF2B5EF4-FFF2-40B4-BE49-F238E27FC236}">
              <a16:creationId xmlns:a16="http://schemas.microsoft.com/office/drawing/2014/main" id="{7875C737-C0FB-6EDF-BE7C-71C918A51853}"/>
            </a:ext>
          </a:extLst>
        </xdr:cNvPr>
        <xdr:cNvGrpSpPr/>
      </xdr:nvGrpSpPr>
      <xdr:grpSpPr>
        <a:xfrm>
          <a:off x="11334749" y="4026938"/>
          <a:ext cx="2109108" cy="4164561"/>
          <a:chOff x="11334749" y="5225144"/>
          <a:chExt cx="2068286" cy="2830286"/>
        </a:xfrm>
      </xdr:grpSpPr>
      <xdr:sp macro="" textlink="">
        <xdr:nvSpPr>
          <xdr:cNvPr id="43" name="Oval 42">
            <a:extLst>
              <a:ext uri="{FF2B5EF4-FFF2-40B4-BE49-F238E27FC236}">
                <a16:creationId xmlns:a16="http://schemas.microsoft.com/office/drawing/2014/main" id="{C6F71EB3-9FBE-A845-B383-F3E303D4146B}"/>
              </a:ext>
            </a:extLst>
          </xdr:cNvPr>
          <xdr:cNvSpPr/>
        </xdr:nvSpPr>
        <xdr:spPr>
          <a:xfrm>
            <a:off x="11334749" y="5225144"/>
            <a:ext cx="2068286" cy="2830286"/>
          </a:xfrm>
          <a:prstGeom prst="ellipse">
            <a:avLst/>
          </a:prstGeom>
          <a:solidFill>
            <a:schemeClr val="accent6">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1E2792A6-BA36-441F-35BD-959243BA10BD}"/>
              </a:ext>
            </a:extLst>
          </xdr:cNvPr>
          <xdr:cNvSpPr txBox="1"/>
        </xdr:nvSpPr>
        <xdr:spPr>
          <a:xfrm rot="10800000" flipV="1">
            <a:off x="11744544" y="5225671"/>
            <a:ext cx="1231490" cy="272143"/>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EF6F0"/>
                </a:solidFill>
              </a:rPr>
              <a:t>KEY</a:t>
            </a:r>
            <a:r>
              <a:rPr lang="en-US" sz="1400" b="1" baseline="0">
                <a:solidFill>
                  <a:srgbClr val="FEF6F0"/>
                </a:solidFill>
              </a:rPr>
              <a:t> INSIGHTS:</a:t>
            </a:r>
            <a:endParaRPr lang="en-US" sz="1400" b="1">
              <a:solidFill>
                <a:srgbClr val="FEF6F0"/>
              </a:solidFill>
            </a:endParaRPr>
          </a:p>
        </xdr:txBody>
      </xdr:sp>
      <xdr:sp macro="" textlink="">
        <xdr:nvSpPr>
          <xdr:cNvPr id="45" name="TextBox 44">
            <a:extLst>
              <a:ext uri="{FF2B5EF4-FFF2-40B4-BE49-F238E27FC236}">
                <a16:creationId xmlns:a16="http://schemas.microsoft.com/office/drawing/2014/main" id="{6E018057-8E4A-EDEB-8F03-94415A223958}"/>
              </a:ext>
            </a:extLst>
          </xdr:cNvPr>
          <xdr:cNvSpPr txBox="1"/>
        </xdr:nvSpPr>
        <xdr:spPr>
          <a:xfrm>
            <a:off x="11525249" y="5545855"/>
            <a:ext cx="1782537" cy="2335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buFont typeface="Arial" panose="020B0604020202020204" pitchFamily="34" charset="0"/>
              <a:buChar char="•"/>
            </a:pPr>
            <a:r>
              <a:rPr lang="en-US" sz="1400" b="1">
                <a:solidFill>
                  <a:schemeClr val="accent6">
                    <a:lumMod val="50000"/>
                  </a:schemeClr>
                </a:solidFill>
              </a:rPr>
              <a:t>Information</a:t>
            </a:r>
            <a:r>
              <a:rPr lang="en-US" sz="1400" b="1" baseline="0">
                <a:solidFill>
                  <a:schemeClr val="accent6">
                    <a:lumMod val="50000"/>
                  </a:schemeClr>
                </a:solidFill>
              </a:rPr>
              <a:t> Technology has the highest number of employees.</a:t>
            </a:r>
          </a:p>
          <a:p>
            <a:pPr marL="171450" indent="-171450" algn="l">
              <a:buFont typeface="Arial" panose="020B0604020202020204" pitchFamily="34" charset="0"/>
              <a:buChar char="•"/>
            </a:pPr>
            <a:r>
              <a:rPr lang="en-US" sz="1400" b="1" baseline="0">
                <a:solidFill>
                  <a:schemeClr val="accent6">
                    <a:lumMod val="50000"/>
                  </a:schemeClr>
                </a:solidFill>
              </a:rPr>
              <a:t>Human Resource has the highest average salary.</a:t>
            </a:r>
          </a:p>
          <a:p>
            <a:pPr marL="171450" indent="-171450" algn="l">
              <a:buFont typeface="Arial" panose="020B0604020202020204" pitchFamily="34" charset="0"/>
              <a:buChar char="•"/>
            </a:pPr>
            <a:r>
              <a:rPr lang="en-US" sz="1400" b="1" baseline="0">
                <a:solidFill>
                  <a:schemeClr val="accent6">
                    <a:lumMod val="50000"/>
                  </a:schemeClr>
                </a:solidFill>
              </a:rPr>
              <a:t>Information Technology has the highest attrition rate.</a:t>
            </a:r>
          </a:p>
          <a:p>
            <a:pPr marL="171450" indent="-171450" algn="l">
              <a:buFont typeface="Arial" panose="020B0604020202020204" pitchFamily="34" charset="0"/>
              <a:buChar char="•"/>
            </a:pPr>
            <a:r>
              <a:rPr lang="en-US" sz="1400" b="1" baseline="0">
                <a:solidFill>
                  <a:schemeClr val="accent6">
                    <a:lumMod val="50000"/>
                  </a:schemeClr>
                </a:solidFill>
              </a:rPr>
              <a:t>Employees in Exceeding band recieved the highest total bonus.</a:t>
            </a:r>
          </a:p>
          <a:p>
            <a:pPr marL="171450" indent="-171450" algn="l">
              <a:buFont typeface="Arial" panose="020B0604020202020204" pitchFamily="34" charset="0"/>
              <a:buChar char="•"/>
            </a:pPr>
            <a:endParaRPr lang="en-US" sz="1400" b="1">
              <a:solidFill>
                <a:schemeClr val="accent6">
                  <a:lumMod val="50000"/>
                </a:schemeClr>
              </a:solidFill>
            </a:endParaRPr>
          </a:p>
        </xdr:txBody>
      </xdr:sp>
    </xdr:grpSp>
    <xdr:clientData/>
  </xdr:twoCellAnchor>
  <xdr:twoCellAnchor>
    <xdr:from>
      <xdr:col>18</xdr:col>
      <xdr:colOff>544285</xdr:colOff>
      <xdr:row>10</xdr:row>
      <xdr:rowOff>108855</xdr:rowOff>
    </xdr:from>
    <xdr:to>
      <xdr:col>20</xdr:col>
      <xdr:colOff>585106</xdr:colOff>
      <xdr:row>14</xdr:row>
      <xdr:rowOff>122464</xdr:rowOff>
    </xdr:to>
    <xdr:grpSp>
      <xdr:nvGrpSpPr>
        <xdr:cNvPr id="7" name="Group 6">
          <a:extLst>
            <a:ext uri="{FF2B5EF4-FFF2-40B4-BE49-F238E27FC236}">
              <a16:creationId xmlns:a16="http://schemas.microsoft.com/office/drawing/2014/main" id="{150780E7-FFEC-002B-0722-47AB11DDB271}"/>
            </a:ext>
          </a:extLst>
        </xdr:cNvPr>
        <xdr:cNvGrpSpPr/>
      </xdr:nvGrpSpPr>
      <xdr:grpSpPr>
        <a:xfrm>
          <a:off x="11566071" y="2177141"/>
          <a:ext cx="1265464" cy="775609"/>
          <a:chOff x="11620499" y="2748643"/>
          <a:chExt cx="1279072" cy="966107"/>
        </a:xfrm>
      </xdr:grpSpPr>
      <xdr:sp macro="" textlink="">
        <xdr:nvSpPr>
          <xdr:cNvPr id="46" name="Oval 45">
            <a:hlinkClick xmlns:r="http://schemas.openxmlformats.org/officeDocument/2006/relationships" r:id="rId5"/>
            <a:extLst>
              <a:ext uri="{FF2B5EF4-FFF2-40B4-BE49-F238E27FC236}">
                <a16:creationId xmlns:a16="http://schemas.microsoft.com/office/drawing/2014/main" id="{2CA17F71-2B76-DA5B-2D82-A23DFB9B54E7}"/>
              </a:ext>
            </a:extLst>
          </xdr:cNvPr>
          <xdr:cNvSpPr/>
        </xdr:nvSpPr>
        <xdr:spPr>
          <a:xfrm>
            <a:off x="11620499" y="2748643"/>
            <a:ext cx="1279072" cy="966107"/>
          </a:xfrm>
          <a:prstGeom prst="ellipse">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48" name="TextBox 47">
            <a:hlinkClick xmlns:r="http://schemas.openxmlformats.org/officeDocument/2006/relationships" r:id="rId5"/>
            <a:extLst>
              <a:ext uri="{FF2B5EF4-FFF2-40B4-BE49-F238E27FC236}">
                <a16:creationId xmlns:a16="http://schemas.microsoft.com/office/drawing/2014/main" id="{5E9356BA-79BC-03C6-C980-B8ADED98828B}"/>
              </a:ext>
            </a:extLst>
          </xdr:cNvPr>
          <xdr:cNvSpPr txBox="1"/>
        </xdr:nvSpPr>
        <xdr:spPr>
          <a:xfrm>
            <a:off x="11729356" y="3075216"/>
            <a:ext cx="1061358" cy="312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latin typeface="+mj-lt"/>
              </a:rPr>
              <a:t>ANALYSIS</a:t>
            </a:r>
          </a:p>
        </xdr:txBody>
      </xdr:sp>
    </xdr:grpSp>
    <xdr:clientData/>
  </xdr:twoCellAnchor>
  <xdr:twoCellAnchor>
    <xdr:from>
      <xdr:col>19</xdr:col>
      <xdr:colOff>0</xdr:colOff>
      <xdr:row>14</xdr:row>
      <xdr:rowOff>163285</xdr:rowOff>
    </xdr:from>
    <xdr:to>
      <xdr:col>20</xdr:col>
      <xdr:colOff>557892</xdr:colOff>
      <xdr:row>18</xdr:row>
      <xdr:rowOff>122464</xdr:rowOff>
    </xdr:to>
    <xdr:grpSp>
      <xdr:nvGrpSpPr>
        <xdr:cNvPr id="10" name="Group 9">
          <a:extLst>
            <a:ext uri="{FF2B5EF4-FFF2-40B4-BE49-F238E27FC236}">
              <a16:creationId xmlns:a16="http://schemas.microsoft.com/office/drawing/2014/main" id="{8B8356B8-AA9A-BFD8-77BF-D646C5FFD822}"/>
            </a:ext>
          </a:extLst>
        </xdr:cNvPr>
        <xdr:cNvGrpSpPr/>
      </xdr:nvGrpSpPr>
      <xdr:grpSpPr>
        <a:xfrm>
          <a:off x="11634107" y="2993571"/>
          <a:ext cx="1170214" cy="721179"/>
          <a:chOff x="11707859" y="3813380"/>
          <a:chExt cx="1368605" cy="921906"/>
        </a:xfrm>
      </xdr:grpSpPr>
      <xdr:sp macro="" textlink="">
        <xdr:nvSpPr>
          <xdr:cNvPr id="51" name="Oval 50">
            <a:hlinkClick xmlns:r="http://schemas.openxmlformats.org/officeDocument/2006/relationships" r:id="rId6"/>
            <a:extLst>
              <a:ext uri="{FF2B5EF4-FFF2-40B4-BE49-F238E27FC236}">
                <a16:creationId xmlns:a16="http://schemas.microsoft.com/office/drawing/2014/main" id="{0688C599-0BA0-4E23-86C1-8F3DA7EE6172}"/>
              </a:ext>
            </a:extLst>
          </xdr:cNvPr>
          <xdr:cNvSpPr/>
        </xdr:nvSpPr>
        <xdr:spPr>
          <a:xfrm>
            <a:off x="11707859" y="3813380"/>
            <a:ext cx="1368605" cy="921906"/>
          </a:xfrm>
          <a:prstGeom prst="ellipse">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52" name="TextBox 51">
            <a:hlinkClick xmlns:r="http://schemas.openxmlformats.org/officeDocument/2006/relationships" r:id="rId6"/>
            <a:extLst>
              <a:ext uri="{FF2B5EF4-FFF2-40B4-BE49-F238E27FC236}">
                <a16:creationId xmlns:a16="http://schemas.microsoft.com/office/drawing/2014/main" id="{A79FE9C2-7D3F-44E1-9F38-7FB82E0B8983}"/>
              </a:ext>
            </a:extLst>
          </xdr:cNvPr>
          <xdr:cNvSpPr txBox="1"/>
        </xdr:nvSpPr>
        <xdr:spPr>
          <a:xfrm>
            <a:off x="11809775" y="4137996"/>
            <a:ext cx="1135651" cy="298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latin typeface="+mj-lt"/>
              </a:rPr>
              <a:t>DATASET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151839</xdr:rowOff>
    </xdr:from>
    <xdr:to>
      <xdr:col>2</xdr:col>
      <xdr:colOff>1076223</xdr:colOff>
      <xdr:row>26</xdr:row>
      <xdr:rowOff>108857</xdr:rowOff>
    </xdr:to>
    <xdr:graphicFrame macro="">
      <xdr:nvGraphicFramePr>
        <xdr:cNvPr id="2" name="Chart 1">
          <a:extLst>
            <a:ext uri="{FF2B5EF4-FFF2-40B4-BE49-F238E27FC236}">
              <a16:creationId xmlns:a16="http://schemas.microsoft.com/office/drawing/2014/main" id="{2DDFAD6F-AFA1-05FD-02B2-3217CF190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24761</xdr:colOff>
      <xdr:row>13</xdr:row>
      <xdr:rowOff>33544</xdr:rowOff>
    </xdr:from>
    <xdr:to>
      <xdr:col>7</xdr:col>
      <xdr:colOff>481853</xdr:colOff>
      <xdr:row>24</xdr:row>
      <xdr:rowOff>172089</xdr:rowOff>
    </xdr:to>
    <xdr:graphicFrame macro="">
      <xdr:nvGraphicFramePr>
        <xdr:cNvPr id="3" name="Chart 2">
          <a:extLst>
            <a:ext uri="{FF2B5EF4-FFF2-40B4-BE49-F238E27FC236}">
              <a16:creationId xmlns:a16="http://schemas.microsoft.com/office/drawing/2014/main" id="{64E5F51F-6D0B-96AF-6AFA-A2BBA4FD3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713</xdr:colOff>
      <xdr:row>36</xdr:row>
      <xdr:rowOff>72837</xdr:rowOff>
    </xdr:from>
    <xdr:to>
      <xdr:col>1</xdr:col>
      <xdr:colOff>1871943</xdr:colOff>
      <xdr:row>45</xdr:row>
      <xdr:rowOff>177612</xdr:rowOff>
    </xdr:to>
    <xdr:graphicFrame macro="">
      <xdr:nvGraphicFramePr>
        <xdr:cNvPr id="4" name="Chart 3">
          <a:extLst>
            <a:ext uri="{FF2B5EF4-FFF2-40B4-BE49-F238E27FC236}">
              <a16:creationId xmlns:a16="http://schemas.microsoft.com/office/drawing/2014/main" id="{CE015B30-A18F-3E52-268D-8D26256CA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4803</xdr:colOff>
      <xdr:row>13</xdr:row>
      <xdr:rowOff>88847</xdr:rowOff>
    </xdr:from>
    <xdr:to>
      <xdr:col>12</xdr:col>
      <xdr:colOff>112059</xdr:colOff>
      <xdr:row>26</xdr:row>
      <xdr:rowOff>44824</xdr:rowOff>
    </xdr:to>
    <xdr:graphicFrame macro="">
      <xdr:nvGraphicFramePr>
        <xdr:cNvPr id="5" name="Chart 4">
          <a:extLst>
            <a:ext uri="{FF2B5EF4-FFF2-40B4-BE49-F238E27FC236}">
              <a16:creationId xmlns:a16="http://schemas.microsoft.com/office/drawing/2014/main" id="{EEB5D303-2237-CCD4-FF04-63B3169E4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938893</xdr:colOff>
      <xdr:row>29</xdr:row>
      <xdr:rowOff>54429</xdr:rowOff>
    </xdr:from>
    <xdr:to>
      <xdr:col>4</xdr:col>
      <xdr:colOff>122465</xdr:colOff>
      <xdr:row>34</xdr:row>
      <xdr:rowOff>13608</xdr:rowOff>
    </xdr:to>
    <xdr:sp macro="" textlink="">
      <xdr:nvSpPr>
        <xdr:cNvPr id="21" name="Oval 20">
          <a:hlinkClick xmlns:r="http://schemas.openxmlformats.org/officeDocument/2006/relationships" r:id="rId5"/>
          <a:extLst>
            <a:ext uri="{FF2B5EF4-FFF2-40B4-BE49-F238E27FC236}">
              <a16:creationId xmlns:a16="http://schemas.microsoft.com/office/drawing/2014/main" id="{49FB8EAF-DC05-4661-8D29-9A51259E56E5}"/>
            </a:ext>
          </a:extLst>
        </xdr:cNvPr>
        <xdr:cNvSpPr/>
      </xdr:nvSpPr>
      <xdr:spPr>
        <a:xfrm>
          <a:off x="5225143" y="5728608"/>
          <a:ext cx="1279072" cy="966107"/>
        </a:xfrm>
        <a:prstGeom prst="ellipse">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1047749</xdr:colOff>
      <xdr:row>30</xdr:row>
      <xdr:rowOff>204109</xdr:rowOff>
    </xdr:from>
    <xdr:to>
      <xdr:col>4</xdr:col>
      <xdr:colOff>13607</xdr:colOff>
      <xdr:row>32</xdr:row>
      <xdr:rowOff>81645</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F7804141-0C38-0003-9B57-2F3B2CC51D35}"/>
            </a:ext>
          </a:extLst>
        </xdr:cNvPr>
        <xdr:cNvSpPr txBox="1"/>
      </xdr:nvSpPr>
      <xdr:spPr>
        <a:xfrm>
          <a:off x="5333999" y="6068788"/>
          <a:ext cx="1061358" cy="312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latin typeface="+mj-lt"/>
            </a:rPr>
            <a:t>DATASET</a:t>
          </a:r>
        </a:p>
      </xdr:txBody>
    </xdr:sp>
    <xdr:clientData/>
  </xdr:twoCellAnchor>
  <xdr:twoCellAnchor>
    <xdr:from>
      <xdr:col>2</xdr:col>
      <xdr:colOff>830036</xdr:colOff>
      <xdr:row>35</xdr:row>
      <xdr:rowOff>13607</xdr:rowOff>
    </xdr:from>
    <xdr:to>
      <xdr:col>4</xdr:col>
      <xdr:colOff>326571</xdr:colOff>
      <xdr:row>40</xdr:row>
      <xdr:rowOff>81643</xdr:rowOff>
    </xdr:to>
    <xdr:sp macro="" textlink="">
      <xdr:nvSpPr>
        <xdr:cNvPr id="26" name="Oval 25">
          <a:hlinkClick xmlns:r="http://schemas.openxmlformats.org/officeDocument/2006/relationships" r:id="rId6"/>
          <a:extLst>
            <a:ext uri="{FF2B5EF4-FFF2-40B4-BE49-F238E27FC236}">
              <a16:creationId xmlns:a16="http://schemas.microsoft.com/office/drawing/2014/main" id="{BA1849C4-48AF-224A-B02B-40F8D0DE7260}"/>
            </a:ext>
          </a:extLst>
        </xdr:cNvPr>
        <xdr:cNvSpPr/>
      </xdr:nvSpPr>
      <xdr:spPr>
        <a:xfrm>
          <a:off x="5116286" y="6885214"/>
          <a:ext cx="1592035" cy="1020536"/>
        </a:xfrm>
        <a:prstGeom prst="ellipse">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966107</xdr:colOff>
      <xdr:row>36</xdr:row>
      <xdr:rowOff>163286</xdr:rowOff>
    </xdr:from>
    <xdr:to>
      <xdr:col>4</xdr:col>
      <xdr:colOff>204107</xdr:colOff>
      <xdr:row>38</xdr:row>
      <xdr:rowOff>176894</xdr:rowOff>
    </xdr:to>
    <xdr:sp macro="" textlink="">
      <xdr:nvSpPr>
        <xdr:cNvPr id="27" name="TextBox 26">
          <a:hlinkClick xmlns:r="http://schemas.openxmlformats.org/officeDocument/2006/relationships" r:id="rId6"/>
          <a:extLst>
            <a:ext uri="{FF2B5EF4-FFF2-40B4-BE49-F238E27FC236}">
              <a16:creationId xmlns:a16="http://schemas.microsoft.com/office/drawing/2014/main" id="{FA7348CC-A4F2-459B-7BAF-9B5C2B2E5952}"/>
            </a:ext>
          </a:extLst>
        </xdr:cNvPr>
        <xdr:cNvSpPr txBox="1"/>
      </xdr:nvSpPr>
      <xdr:spPr>
        <a:xfrm>
          <a:off x="5252357" y="7225393"/>
          <a:ext cx="1333500" cy="394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50000"/>
                </a:schemeClr>
              </a:solidFill>
            </a:rPr>
            <a:t>DASHBOARD</a:t>
          </a:r>
        </a:p>
        <a:p>
          <a:endParaRPr lang="en-US" sz="1100"/>
        </a:p>
      </xdr:txBody>
    </xdr:sp>
    <xdr:clientData/>
  </xdr:twoCellAnchor>
  <xdr:twoCellAnchor>
    <xdr:from>
      <xdr:col>2</xdr:col>
      <xdr:colOff>369794</xdr:colOff>
      <xdr:row>0</xdr:row>
      <xdr:rowOff>78441</xdr:rowOff>
    </xdr:from>
    <xdr:to>
      <xdr:col>9</xdr:col>
      <xdr:colOff>123265</xdr:colOff>
      <xdr:row>3</xdr:row>
      <xdr:rowOff>78441</xdr:rowOff>
    </xdr:to>
    <xdr:sp macro="" textlink="">
      <xdr:nvSpPr>
        <xdr:cNvPr id="6" name="Rectangle: Rounded Corners 5">
          <a:extLst>
            <a:ext uri="{FF2B5EF4-FFF2-40B4-BE49-F238E27FC236}">
              <a16:creationId xmlns:a16="http://schemas.microsoft.com/office/drawing/2014/main" id="{279B7D16-777E-DC4D-3D66-F71EC2EF9F75}"/>
            </a:ext>
          </a:extLst>
        </xdr:cNvPr>
        <xdr:cNvSpPr/>
      </xdr:nvSpPr>
      <xdr:spPr>
        <a:xfrm>
          <a:off x="3630706" y="78441"/>
          <a:ext cx="6477000" cy="571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3200" b="1">
              <a:solidFill>
                <a:schemeClr val="accent6">
                  <a:lumMod val="50000"/>
                </a:schemeClr>
              </a:solidFill>
            </a:rPr>
            <a:t>HUMAN</a:t>
          </a:r>
          <a:r>
            <a:rPr lang="en-US" sz="3200" b="1" baseline="0">
              <a:solidFill>
                <a:schemeClr val="accent6">
                  <a:lumMod val="50000"/>
                </a:schemeClr>
              </a:solidFill>
            </a:rPr>
            <a:t> RESOURCE ANALYSIS TABLE</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1581150</xdr:colOff>
      <xdr:row>2</xdr:row>
      <xdr:rowOff>122464</xdr:rowOff>
    </xdr:to>
    <xdr:sp macro="" textlink="">
      <xdr:nvSpPr>
        <xdr:cNvPr id="3" name="TextBox 2">
          <a:hlinkClick xmlns:r="http://schemas.openxmlformats.org/officeDocument/2006/relationships" r:id="rId1"/>
          <a:extLst>
            <a:ext uri="{FF2B5EF4-FFF2-40B4-BE49-F238E27FC236}">
              <a16:creationId xmlns:a16="http://schemas.microsoft.com/office/drawing/2014/main" id="{C5EFA2A0-61F0-4BEB-996A-484302BA41A9}"/>
            </a:ext>
          </a:extLst>
        </xdr:cNvPr>
        <xdr:cNvSpPr txBox="1"/>
      </xdr:nvSpPr>
      <xdr:spPr>
        <a:xfrm>
          <a:off x="0" y="238125"/>
          <a:ext cx="1581150" cy="31296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latin typeface="+mj-lt"/>
            </a:rPr>
            <a:t>ANALYSIS</a:t>
          </a:r>
        </a:p>
      </xdr:txBody>
    </xdr:sp>
    <xdr:clientData/>
  </xdr:twoCellAnchor>
  <xdr:twoCellAnchor>
    <xdr:from>
      <xdr:col>0</xdr:col>
      <xdr:colOff>123825</xdr:colOff>
      <xdr:row>3</xdr:row>
      <xdr:rowOff>180975</xdr:rowOff>
    </xdr:from>
    <xdr:to>
      <xdr:col>0</xdr:col>
      <xdr:colOff>1457325</xdr:colOff>
      <xdr:row>6</xdr:row>
      <xdr:rowOff>4083</xdr:rowOff>
    </xdr:to>
    <xdr:sp macro="" textlink="">
      <xdr:nvSpPr>
        <xdr:cNvPr id="5" name="TextBox 4">
          <a:hlinkClick xmlns:r="http://schemas.openxmlformats.org/officeDocument/2006/relationships" r:id="rId2"/>
          <a:extLst>
            <a:ext uri="{FF2B5EF4-FFF2-40B4-BE49-F238E27FC236}">
              <a16:creationId xmlns:a16="http://schemas.microsoft.com/office/drawing/2014/main" id="{651A2032-26E2-4FDB-8A30-22C03D0E1B55}"/>
            </a:ext>
          </a:extLst>
        </xdr:cNvPr>
        <xdr:cNvSpPr txBox="1"/>
      </xdr:nvSpPr>
      <xdr:spPr>
        <a:xfrm>
          <a:off x="123825" y="800100"/>
          <a:ext cx="1333500" cy="394608"/>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50000"/>
                </a:schemeClr>
              </a:solidFill>
            </a:rPr>
            <a:t>DASHBOARD</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IDA" refreshedDate="46208.38009583333" createdVersion="8" refreshedVersion="8" minRefreshableVersion="3" recordCount="150" xr:uid="{2F9E4478-DE3F-45B6-8AE1-8217723D8FA4}">
  <cacheSource type="worksheet">
    <worksheetSource name="Cleaned"/>
  </cacheSource>
  <cacheFields count="14">
    <cacheField name="Employee ID" numFmtId="0">
      <sharedItems/>
    </cacheField>
    <cacheField name="Full Name" numFmtId="0">
      <sharedItems/>
    </cacheField>
    <cacheField name="Department" numFmtId="0">
      <sharedItems count="6">
        <s v="Sales"/>
        <s v="Marketing"/>
        <s v="Information Technology"/>
        <s v="Operations"/>
        <s v="Finance"/>
        <s v="Human Resources"/>
      </sharedItems>
    </cacheField>
    <cacheField name="Dept Code" numFmtId="0">
      <sharedItems/>
    </cacheField>
    <cacheField name="Hire Date" numFmtId="14">
      <sharedItems containsSemiMixedTypes="0" containsNonDate="0" containsDate="1" containsString="0" minDate="2015-01-04T00:00:00" maxDate="2023-12-13T00:00:00"/>
    </cacheField>
    <cacheField name="Years of Service" numFmtId="0">
      <sharedItems/>
    </cacheField>
    <cacheField name="Salary" numFmtId="164">
      <sharedItems containsSemiMixedTypes="0" containsString="0" containsNumber="1" containsInteger="1" minValue="45196" maxValue="118947"/>
    </cacheField>
    <cacheField name="Performance Score" numFmtId="0">
      <sharedItems containsSemiMixedTypes="0" containsString="0" containsNumber="1" containsInteger="1" minValue="30" maxValue="99"/>
    </cacheField>
    <cacheField name="Column1" numFmtId="0">
      <sharedItems/>
    </cacheField>
    <cacheField name="Employment Status" numFmtId="0">
      <sharedItems count="3">
        <s v="Active"/>
        <s v="Left"/>
        <s v="Resigned"/>
      </sharedItems>
    </cacheField>
    <cacheField name="Performace Band" numFmtId="0">
      <sharedItems count="5">
        <s v="Developing"/>
        <s v="Achieving"/>
        <s v="Exceeding"/>
        <s v="Outstanding"/>
        <s v="Needs Improvement"/>
      </sharedItems>
    </cacheField>
    <cacheField name="Bonus Percentage" numFmtId="0">
      <sharedItems containsSemiMixedTypes="0" containsString="0" containsNumber="1" minValue="0" maxValue="0.8"/>
    </cacheField>
    <cacheField name="Bonus Payout" numFmtId="164">
      <sharedItems containsSemiMixedTypes="0" containsString="0" containsNumber="1" minValue="0" maxValue="94907.200000000012"/>
    </cacheField>
    <cacheField name="Aggregate Pay" numFmtId="164">
      <sharedItems containsSemiMixedTypes="0" containsString="0" containsNumber="1" minValue="46508" maxValue="213541.2"/>
    </cacheField>
  </cacheFields>
  <extLst>
    <ext xmlns:x14="http://schemas.microsoft.com/office/spreadsheetml/2009/9/main" uri="{725AE2AE-9491-48be-B2B4-4EB974FC3084}">
      <x14:pivotCacheDefinition pivotCacheId="1920911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050"/>
    <s v="William Gonzalez"/>
    <x v="0"/>
    <s v="SAL05"/>
    <d v="2015-01-04T00:00:00"/>
    <s v="11Years"/>
    <n v="115288"/>
    <n v="61"/>
    <s v="$115,288"/>
    <x v="0"/>
    <x v="0"/>
    <n v="0.02"/>
    <n v="2305.7600000000002"/>
    <n v="117593.76"/>
  </r>
  <r>
    <s v="EMP047"/>
    <s v="Jane Lopez"/>
    <x v="1"/>
    <s v="MKT04"/>
    <d v="2015-03-11T00:00:00"/>
    <s v="11Years"/>
    <n v="101750"/>
    <n v="84"/>
    <s v="101750"/>
    <x v="1"/>
    <x v="1"/>
    <n v="0.05"/>
    <n v="5087.5"/>
    <n v="106837.5"/>
  </r>
  <r>
    <s v="EMP123"/>
    <s v="Robert Miller"/>
    <x v="2"/>
    <s v="IT02"/>
    <d v="2015-04-28T00:00:00"/>
    <s v="11Years"/>
    <n v="75519"/>
    <n v="64"/>
    <s v="$75,519"/>
    <x v="0"/>
    <x v="0"/>
    <n v="0.02"/>
    <n v="1510.38"/>
    <n v="77029.38"/>
  </r>
  <r>
    <s v="EMP100"/>
    <s v="Melissa Hernandez"/>
    <x v="0"/>
    <s v="SAL05"/>
    <d v="2015-06-20T00:00:00"/>
    <s v="11Years"/>
    <n v="72457"/>
    <n v="94"/>
    <s v=""/>
    <x v="2"/>
    <x v="2"/>
    <n v="0.8"/>
    <n v="57965.600000000006"/>
    <n v="130422.6"/>
  </r>
  <r>
    <s v="EMP083"/>
    <s v="William Garcia"/>
    <x v="0"/>
    <s v="SAL05"/>
    <d v="2015-07-07T00:00:00"/>
    <s v="10Years"/>
    <n v="65235"/>
    <n v="97"/>
    <s v="65235"/>
    <x v="0"/>
    <x v="3"/>
    <n v="0.12"/>
    <n v="7828.2"/>
    <n v="73063.199999999997"/>
  </r>
  <r>
    <s v="EMP015"/>
    <s v="John Rodriguez"/>
    <x v="0"/>
    <s v="SAL05"/>
    <d v="2015-07-17T00:00:00"/>
    <s v="10Years"/>
    <n v="72457"/>
    <n v="68"/>
    <s v=""/>
    <x v="0"/>
    <x v="0"/>
    <n v="0.02"/>
    <n v="1449.14"/>
    <n v="73906.14"/>
  </r>
  <r>
    <s v="EMP076"/>
    <s v="Thomas Hernandez"/>
    <x v="3"/>
    <s v="OPS06"/>
    <d v="2015-08-05T00:00:00"/>
    <s v="10Years"/>
    <n v="97055"/>
    <n v="80"/>
    <s v="97055"/>
    <x v="0"/>
    <x v="1"/>
    <n v="0.05"/>
    <n v="4852.75"/>
    <n v="101907.75"/>
  </r>
  <r>
    <s v="EMP106"/>
    <s v="A Brown"/>
    <x v="2"/>
    <s v="IT02"/>
    <d v="2015-09-01T00:00:00"/>
    <s v="10Years"/>
    <n v="102691"/>
    <n v="52"/>
    <s v="102691"/>
    <x v="0"/>
    <x v="0"/>
    <n v="0.02"/>
    <n v="2053.8200000000002"/>
    <n v="104744.82"/>
  </r>
  <r>
    <s v="EMP026"/>
    <s v="Jane Gonzalez"/>
    <x v="0"/>
    <s v="SAL05"/>
    <d v="2015-09-02T00:00:00"/>
    <s v="10Years"/>
    <n v="72457"/>
    <n v="67"/>
    <s v=""/>
    <x v="0"/>
    <x v="0"/>
    <n v="0.02"/>
    <n v="1449.14"/>
    <n v="73906.14"/>
  </r>
  <r>
    <s v="EMP053"/>
    <s v="Richard Williams"/>
    <x v="4"/>
    <s v="FIN03"/>
    <d v="2015-10-22T00:00:00"/>
    <s v="10Years"/>
    <n v="72457"/>
    <n v="62"/>
    <s v=""/>
    <x v="0"/>
    <x v="0"/>
    <n v="0.02"/>
    <n v="1449.14"/>
    <n v="73906.14"/>
  </r>
  <r>
    <s v="EMP006"/>
    <s v="Jessica Anderson"/>
    <x v="5"/>
    <s v="HR01"/>
    <d v="2015-10-27T00:00:00"/>
    <s v="10Years"/>
    <n v="56073"/>
    <n v="79"/>
    <s v="56073"/>
    <x v="0"/>
    <x v="1"/>
    <n v="0.05"/>
    <n v="2803.65"/>
    <n v="58876.65"/>
  </r>
  <r>
    <s v="EMP132"/>
    <s v="Jessica Garcia"/>
    <x v="3"/>
    <s v="OPS06"/>
    <d v="2015-11-22T00:00:00"/>
    <s v="10Years"/>
    <n v="86480"/>
    <n v="75"/>
    <s v="86480"/>
    <x v="0"/>
    <x v="1"/>
    <n v="0.05"/>
    <n v="4324"/>
    <n v="90804"/>
  </r>
  <r>
    <s v="EMP126"/>
    <s v="Emily Davis"/>
    <x v="2"/>
    <s v="IT02"/>
    <d v="2015-11-29T00:00:00"/>
    <s v="10Years"/>
    <n v="105765"/>
    <n v="42"/>
    <s v="105765"/>
    <x v="0"/>
    <x v="4"/>
    <n v="0"/>
    <n v="0"/>
    <n v="105765"/>
  </r>
  <r>
    <s v="EMP057"/>
    <s v="Emily Hernandez"/>
    <x v="2"/>
    <s v="IT02"/>
    <d v="2016-02-25T00:00:00"/>
    <s v="10Years"/>
    <n v="76918"/>
    <n v="62"/>
    <s v="76918"/>
    <x v="0"/>
    <x v="0"/>
    <n v="0.02"/>
    <n v="1538.3600000000001"/>
    <n v="78456.36"/>
  </r>
  <r>
    <s v="EMP134"/>
    <s v="Emily Gonzalez"/>
    <x v="2"/>
    <s v="IT02"/>
    <d v="2016-03-02T00:00:00"/>
    <s v="10Years"/>
    <n v="114425"/>
    <n v="54"/>
    <s v="$114,425"/>
    <x v="1"/>
    <x v="0"/>
    <n v="0.02"/>
    <n v="2288.5"/>
    <n v="116713.5"/>
  </r>
  <r>
    <s v="EMP051"/>
    <s v="Jane Davis"/>
    <x v="4"/>
    <s v="FIN03"/>
    <d v="2016-03-04T00:00:00"/>
    <s v="10Years"/>
    <n v="46390"/>
    <n v="95"/>
    <s v="46390"/>
    <x v="0"/>
    <x v="3"/>
    <n v="0.12"/>
    <n v="5566.8"/>
    <n v="51956.800000000003"/>
  </r>
  <r>
    <s v="EMP092"/>
    <s v="Emily Johnson"/>
    <x v="3"/>
    <s v="OPS06"/>
    <d v="2016-05-22T00:00:00"/>
    <s v="10Years"/>
    <n v="81167"/>
    <n v="40"/>
    <s v="81167"/>
    <x v="0"/>
    <x v="4"/>
    <n v="0"/>
    <n v="0"/>
    <n v="81167"/>
  </r>
  <r>
    <s v="EMP072"/>
    <s v="Melissa Miller"/>
    <x v="0"/>
    <s v="SAL05"/>
    <d v="2016-05-29T00:00:00"/>
    <s v="10Years"/>
    <n v="62798"/>
    <n v="30"/>
    <s v="62798"/>
    <x v="0"/>
    <x v="4"/>
    <n v="0"/>
    <n v="0"/>
    <n v="62798"/>
  </r>
  <r>
    <s v="EMP004"/>
    <s v="Thomas Miller"/>
    <x v="2"/>
    <s v="IT02"/>
    <d v="2016-07-10T00:00:00"/>
    <s v="9Years"/>
    <n v="74370"/>
    <n v="82"/>
    <s v="74370"/>
    <x v="0"/>
    <x v="1"/>
    <n v="0.05"/>
    <n v="3718.5"/>
    <n v="78088.5"/>
  </r>
  <r>
    <s v="EMP032"/>
    <s v="Jessica Johnson"/>
    <x v="4"/>
    <s v="FIN03"/>
    <d v="2016-07-14T00:00:00"/>
    <s v="9Years"/>
    <n v="100851"/>
    <n v="64"/>
    <s v="100851"/>
    <x v="0"/>
    <x v="0"/>
    <n v="0.02"/>
    <n v="2017.02"/>
    <n v="102868.02"/>
  </r>
  <r>
    <s v="EMP077"/>
    <s v="Amanda Lopez"/>
    <x v="0"/>
    <s v="SAL05"/>
    <d v="2016-07-14T00:00:00"/>
    <s v="9Years"/>
    <n v="78402"/>
    <n v="54"/>
    <s v="78402"/>
    <x v="0"/>
    <x v="0"/>
    <n v="0.02"/>
    <n v="1568.04"/>
    <n v="79970.039999999994"/>
  </r>
  <r>
    <s v="EMP120"/>
    <s v="Amanda Gonzalez"/>
    <x v="2"/>
    <s v="IT02"/>
    <d v="2016-07-24T00:00:00"/>
    <s v="9Years"/>
    <n v="72457"/>
    <n v="75"/>
    <s v=""/>
    <x v="0"/>
    <x v="1"/>
    <n v="0.05"/>
    <n v="3622.8500000000004"/>
    <n v="76079.850000000006"/>
  </r>
  <r>
    <s v="EMP009"/>
    <s v="Jessica Smith"/>
    <x v="0"/>
    <s v="SAL05"/>
    <d v="2016-09-12T00:00:00"/>
    <s v="9Years"/>
    <n v="114681"/>
    <n v="36"/>
    <s v="114681"/>
    <x v="0"/>
    <x v="4"/>
    <n v="0"/>
    <n v="0"/>
    <n v="114681"/>
  </r>
  <r>
    <s v="EMP150"/>
    <s v="Richard Davis"/>
    <x v="3"/>
    <s v="OPS06"/>
    <d v="2016-09-15T00:00:00"/>
    <s v="9Years"/>
    <n v="115527"/>
    <n v="63"/>
    <s v="115527"/>
    <x v="2"/>
    <x v="0"/>
    <n v="0.02"/>
    <n v="2310.54"/>
    <n v="117837.54"/>
  </r>
  <r>
    <s v="EMP023"/>
    <s v="Thomas Lopez"/>
    <x v="3"/>
    <s v="OPS06"/>
    <d v="2016-10-04T00:00:00"/>
    <s v="9Years"/>
    <n v="105498"/>
    <n v="76"/>
    <s v="105498"/>
    <x v="0"/>
    <x v="1"/>
    <n v="0.05"/>
    <n v="5274.9000000000005"/>
    <n v="110772.9"/>
  </r>
  <r>
    <s v="EMP024"/>
    <s v="David Wilson"/>
    <x v="3"/>
    <s v="OPS06"/>
    <d v="2016-10-11T00:00:00"/>
    <s v="9Years"/>
    <n v="48823"/>
    <n v="34"/>
    <s v="48823"/>
    <x v="0"/>
    <x v="4"/>
    <n v="0"/>
    <n v="0"/>
    <n v="48823"/>
  </r>
  <r>
    <s v="EMP140"/>
    <s v="Michael Martinez"/>
    <x v="0"/>
    <s v="SAL05"/>
    <d v="2016-11-02T00:00:00"/>
    <s v="9Years"/>
    <n v="94998"/>
    <n v="58"/>
    <s v="94998"/>
    <x v="0"/>
    <x v="0"/>
    <n v="0.02"/>
    <n v="1899.96"/>
    <n v="96897.96"/>
  </r>
  <r>
    <s v="EMP093"/>
    <s v="James Rodriguez"/>
    <x v="1"/>
    <s v="MKT04"/>
    <d v="2016-11-03T00:00:00"/>
    <s v="9Years"/>
    <n v="93094"/>
    <n v="74"/>
    <s v="93094"/>
    <x v="0"/>
    <x v="1"/>
    <n v="0.05"/>
    <n v="4654.7"/>
    <n v="97748.7"/>
  </r>
  <r>
    <s v="EMP145"/>
    <s v="Thomas Jones"/>
    <x v="1"/>
    <s v="MKT04"/>
    <d v="2016-11-11T00:00:00"/>
    <s v="9Years"/>
    <n v="50936"/>
    <n v="99"/>
    <s v="$50,936"/>
    <x v="0"/>
    <x v="3"/>
    <n v="0.12"/>
    <n v="6112.32"/>
    <n v="57048.32"/>
  </r>
  <r>
    <s v="EMP143"/>
    <s v="Jessica Gonzalez"/>
    <x v="5"/>
    <s v="HR01"/>
    <d v="2016-11-13T00:00:00"/>
    <s v="9Years"/>
    <n v="77737"/>
    <n v="77"/>
    <s v="$77,737"/>
    <x v="0"/>
    <x v="1"/>
    <n v="0.05"/>
    <n v="3886.8500000000004"/>
    <n v="81623.850000000006"/>
  </r>
  <r>
    <s v="EMP012"/>
    <s v="John Davis"/>
    <x v="2"/>
    <s v="IT02"/>
    <d v="2017-01-26T00:00:00"/>
    <s v="9Years"/>
    <n v="83531"/>
    <n v="30"/>
    <s v="83531"/>
    <x v="1"/>
    <x v="4"/>
    <n v="0"/>
    <n v="0"/>
    <n v="83531"/>
  </r>
  <r>
    <s v="EMP040"/>
    <s v="Jane Rodriguez"/>
    <x v="2"/>
    <s v="IT02"/>
    <d v="2017-02-19T00:00:00"/>
    <s v="9Years"/>
    <n v="86246"/>
    <n v="61"/>
    <s v="$86,246"/>
    <x v="0"/>
    <x v="0"/>
    <n v="0.02"/>
    <n v="1724.92"/>
    <n v="87970.92"/>
  </r>
  <r>
    <s v="EMP008"/>
    <s v="Melissa Gonzalez"/>
    <x v="1"/>
    <s v="MKT04"/>
    <d v="2017-02-19T00:00:00"/>
    <s v="9Years"/>
    <n v="82992"/>
    <n v="79"/>
    <s v="82992"/>
    <x v="0"/>
    <x v="1"/>
    <n v="0.05"/>
    <n v="4149.6000000000004"/>
    <n v="87141.6"/>
  </r>
  <r>
    <s v="EMP017"/>
    <s v="Robert Johnson"/>
    <x v="3"/>
    <s v="OPS06"/>
    <d v="2017-03-06T00:00:00"/>
    <s v="9Years"/>
    <n v="63302"/>
    <n v="91"/>
    <s v="63302"/>
    <x v="0"/>
    <x v="2"/>
    <n v="0.8"/>
    <n v="50641.600000000006"/>
    <n v="113943.6"/>
  </r>
  <r>
    <s v="EMP001"/>
    <s v="Michael Miller"/>
    <x v="0"/>
    <s v="SAL05"/>
    <d v="2017-03-24T00:00:00"/>
    <s v="9Years"/>
    <n v="111240"/>
    <n v="87"/>
    <s v="$111,240"/>
    <x v="0"/>
    <x v="2"/>
    <n v="0.8"/>
    <n v="88992"/>
    <n v="200232"/>
  </r>
  <r>
    <s v="EMP011"/>
    <s v="Jane Davis"/>
    <x v="4"/>
    <s v="FIN03"/>
    <d v="2017-04-13T00:00:00"/>
    <s v="9Years"/>
    <n v="103891"/>
    <n v="80"/>
    <s v="103891"/>
    <x v="0"/>
    <x v="1"/>
    <n v="0.05"/>
    <n v="5194.55"/>
    <n v="109085.55"/>
  </r>
  <r>
    <s v="EMP039"/>
    <s v="Jane Miller"/>
    <x v="1"/>
    <s v="MKT04"/>
    <d v="2017-05-10T00:00:00"/>
    <s v="9Years"/>
    <n v="48748"/>
    <n v="83"/>
    <s v="48748"/>
    <x v="0"/>
    <x v="1"/>
    <n v="0.05"/>
    <n v="2437.4"/>
    <n v="51185.4"/>
  </r>
  <r>
    <s v="EMP094"/>
    <s v="Jane Davis"/>
    <x v="2"/>
    <s v="IT02"/>
    <d v="2017-05-25T00:00:00"/>
    <s v="9Years"/>
    <n v="77545"/>
    <n v="48"/>
    <s v="$77,545"/>
    <x v="0"/>
    <x v="4"/>
    <n v="0"/>
    <n v="0"/>
    <n v="77545"/>
  </r>
  <r>
    <s v="EMP109"/>
    <s v="James Martinez"/>
    <x v="0"/>
    <s v="SAL05"/>
    <d v="2017-06-13T00:00:00"/>
    <s v="9Years"/>
    <n v="102921"/>
    <n v="49"/>
    <s v="102921"/>
    <x v="0"/>
    <x v="4"/>
    <n v="0"/>
    <n v="0"/>
    <n v="102921"/>
  </r>
  <r>
    <s v="EMP085"/>
    <s v="Emily Jones"/>
    <x v="4"/>
    <s v="FIN03"/>
    <d v="2017-07-03T00:00:00"/>
    <s v="9Years"/>
    <n v="113389"/>
    <n v="30"/>
    <s v="113389"/>
    <x v="0"/>
    <x v="4"/>
    <n v="0"/>
    <n v="0"/>
    <n v="113389"/>
  </r>
  <r>
    <s v="EMP104"/>
    <s v="Sarah Gonzalez"/>
    <x v="3"/>
    <s v="OPS06"/>
    <d v="2017-07-16T00:00:00"/>
    <s v="8Years"/>
    <n v="65065"/>
    <n v="98"/>
    <s v="65065"/>
    <x v="0"/>
    <x v="3"/>
    <n v="0.12"/>
    <n v="7807.7999999999993"/>
    <n v="72872.800000000003"/>
  </r>
  <r>
    <s v="EMP049"/>
    <s v="David Anderson"/>
    <x v="5"/>
    <s v="HR01"/>
    <d v="2017-07-28T00:00:00"/>
    <s v="8Years"/>
    <n v="115618"/>
    <n v="42"/>
    <s v="$115,618"/>
    <x v="0"/>
    <x v="4"/>
    <n v="0"/>
    <n v="0"/>
    <n v="115618"/>
  </r>
  <r>
    <s v="EMP101"/>
    <s v="Robert Williams"/>
    <x v="0"/>
    <s v="SAL05"/>
    <d v="2017-08-09T00:00:00"/>
    <s v="8Years"/>
    <n v="72457"/>
    <n v="76"/>
    <s v=""/>
    <x v="0"/>
    <x v="1"/>
    <n v="0.05"/>
    <n v="3622.8500000000004"/>
    <n v="76079.850000000006"/>
  </r>
  <r>
    <s v="EMP027"/>
    <s v="Sarah Miller"/>
    <x v="3"/>
    <s v="OPS06"/>
    <d v="2017-09-09T00:00:00"/>
    <s v="8Years"/>
    <n v="57514"/>
    <n v="71"/>
    <s v="57514"/>
    <x v="0"/>
    <x v="1"/>
    <n v="0.05"/>
    <n v="2875.7000000000003"/>
    <n v="60389.7"/>
  </r>
  <r>
    <s v="EMP045"/>
    <s v="Robert Miller"/>
    <x v="5"/>
    <s v="HR01"/>
    <d v="2017-09-30T00:00:00"/>
    <s v="8Years"/>
    <n v="55270"/>
    <n v="87"/>
    <s v="55270"/>
    <x v="0"/>
    <x v="2"/>
    <n v="0.8"/>
    <n v="44216"/>
    <n v="99486"/>
  </r>
  <r>
    <s v="EMP002"/>
    <s v="Richard Johnson"/>
    <x v="3"/>
    <s v="OPS06"/>
    <d v="2017-10-03T00:00:00"/>
    <s v="8Years"/>
    <n v="50399"/>
    <n v="92"/>
    <s v="50399"/>
    <x v="1"/>
    <x v="2"/>
    <n v="0.8"/>
    <n v="40319.200000000004"/>
    <n v="90718.200000000012"/>
  </r>
  <r>
    <s v="EMP019"/>
    <s v="Michael Hernandez"/>
    <x v="4"/>
    <s v="FIN03"/>
    <d v="2017-12-07T00:00:00"/>
    <s v="8Years"/>
    <n v="118527"/>
    <n v="50"/>
    <s v="118527"/>
    <x v="0"/>
    <x v="0"/>
    <n v="0.02"/>
    <n v="2370.54"/>
    <n v="120897.54"/>
  </r>
  <r>
    <s v="EMP058"/>
    <s v="Melissa Johnson"/>
    <x v="4"/>
    <s v="FIN03"/>
    <d v="2017-12-22T00:00:00"/>
    <s v="8Years"/>
    <n v="88005"/>
    <n v="69"/>
    <s v="88005"/>
    <x v="0"/>
    <x v="0"/>
    <n v="0.02"/>
    <n v="1760.1000000000001"/>
    <n v="89765.1"/>
  </r>
  <r>
    <s v="EMP127"/>
    <s v="Emily Brown"/>
    <x v="2"/>
    <s v="IT02"/>
    <d v="2017-12-24T00:00:00"/>
    <s v="8Years"/>
    <n v="50361"/>
    <n v="52"/>
    <s v="50361"/>
    <x v="0"/>
    <x v="0"/>
    <n v="0.02"/>
    <n v="1007.22"/>
    <n v="51368.22"/>
  </r>
  <r>
    <s v="EMP095"/>
    <s v="A Rodriguez"/>
    <x v="4"/>
    <s v="FIN03"/>
    <d v="2018-01-07T00:00:00"/>
    <s v="8Years"/>
    <n v="102139"/>
    <n v="79"/>
    <s v="102139"/>
    <x v="0"/>
    <x v="1"/>
    <n v="0.05"/>
    <n v="5106.9500000000007"/>
    <n v="107245.95"/>
  </r>
  <r>
    <s v="EMP147"/>
    <s v="Thomas Miller"/>
    <x v="3"/>
    <s v="OPS06"/>
    <d v="2018-01-12T00:00:00"/>
    <s v="8Years"/>
    <n v="67414"/>
    <n v="84"/>
    <s v="67414"/>
    <x v="1"/>
    <x v="1"/>
    <n v="0.05"/>
    <n v="3370.7000000000003"/>
    <n v="70784.7"/>
  </r>
  <r>
    <s v="EMP071"/>
    <s v="John Smith"/>
    <x v="3"/>
    <s v="OPS06"/>
    <d v="2018-01-22T00:00:00"/>
    <s v="8Years"/>
    <n v="89060"/>
    <n v="58"/>
    <s v="89060"/>
    <x v="0"/>
    <x v="0"/>
    <n v="0.02"/>
    <n v="1781.2"/>
    <n v="90841.2"/>
  </r>
  <r>
    <s v="EMP033"/>
    <s v="David Martinez"/>
    <x v="5"/>
    <s v="HR01"/>
    <d v="2018-02-07T00:00:00"/>
    <s v="8Years"/>
    <n v="91655"/>
    <n v="95"/>
    <s v="91655"/>
    <x v="0"/>
    <x v="3"/>
    <n v="0.12"/>
    <n v="10998.6"/>
    <n v="102653.6"/>
  </r>
  <r>
    <s v="EMP136"/>
    <s v="Emily Wilson"/>
    <x v="0"/>
    <s v="SAL05"/>
    <d v="2018-03-22T00:00:00"/>
    <s v="8Years"/>
    <n v="86245"/>
    <n v="71"/>
    <s v="86245"/>
    <x v="1"/>
    <x v="1"/>
    <n v="0.05"/>
    <n v="4312.25"/>
    <n v="90557.25"/>
  </r>
  <r>
    <s v="EMP116"/>
    <s v="William Jones"/>
    <x v="1"/>
    <s v="MKT04"/>
    <d v="2018-03-24T00:00:00"/>
    <s v="8Years"/>
    <n v="107903"/>
    <n v="42"/>
    <s v="107903"/>
    <x v="0"/>
    <x v="4"/>
    <n v="0"/>
    <n v="0"/>
    <n v="107903"/>
  </r>
  <r>
    <s v="EMP099"/>
    <s v="Michael Wilson"/>
    <x v="4"/>
    <s v="FIN03"/>
    <d v="2018-05-13T00:00:00"/>
    <s v="8Years"/>
    <n v="85312"/>
    <n v="66"/>
    <s v="85312"/>
    <x v="0"/>
    <x v="0"/>
    <n v="0.02"/>
    <n v="1706.24"/>
    <n v="87018.240000000005"/>
  </r>
  <r>
    <s v="EMP066"/>
    <s v="Ashley Lopez"/>
    <x v="1"/>
    <s v="MKT04"/>
    <d v="2018-05-15T00:00:00"/>
    <s v="8Years"/>
    <n v="73984"/>
    <n v="93"/>
    <s v="73984"/>
    <x v="0"/>
    <x v="2"/>
    <n v="0.8"/>
    <n v="59187.200000000004"/>
    <n v="133171.20000000001"/>
  </r>
  <r>
    <s v="EMP131"/>
    <s v="John Hernandez"/>
    <x v="3"/>
    <s v="OPS06"/>
    <d v="2018-06-06T00:00:00"/>
    <s v="8Years"/>
    <n v="52720"/>
    <n v="68"/>
    <s v="52720"/>
    <x v="0"/>
    <x v="0"/>
    <n v="0.02"/>
    <n v="1054.4000000000001"/>
    <n v="53774.400000000001"/>
  </r>
  <r>
    <s v="EMP110"/>
    <s v="Melissa Johnson"/>
    <x v="2"/>
    <s v="IT02"/>
    <d v="2018-06-19T00:00:00"/>
    <s v="8Years"/>
    <n v="88056"/>
    <n v="66"/>
    <s v="$88,056"/>
    <x v="0"/>
    <x v="0"/>
    <n v="0.02"/>
    <n v="1761.1200000000001"/>
    <n v="89817.12"/>
  </r>
  <r>
    <s v="EMP029"/>
    <s v="John Gonzalez"/>
    <x v="0"/>
    <s v="SAL05"/>
    <d v="2018-07-02T00:00:00"/>
    <s v="8Years"/>
    <n v="72457"/>
    <n v="72"/>
    <s v=""/>
    <x v="1"/>
    <x v="1"/>
    <n v="0.05"/>
    <n v="3622.8500000000004"/>
    <n v="76079.850000000006"/>
  </r>
  <r>
    <s v="EMP108"/>
    <s v="David Williams"/>
    <x v="5"/>
    <s v="HR01"/>
    <d v="2018-07-20T00:00:00"/>
    <s v="7Years"/>
    <n v="85151"/>
    <n v="35"/>
    <s v="85151"/>
    <x v="0"/>
    <x v="4"/>
    <n v="0"/>
    <n v="0"/>
    <n v="85151"/>
  </r>
  <r>
    <s v="EMP055"/>
    <s v="William Williams"/>
    <x v="2"/>
    <s v="IT02"/>
    <d v="2018-07-24T00:00:00"/>
    <s v="7Years"/>
    <n v="62818"/>
    <n v="34"/>
    <s v="62818"/>
    <x v="0"/>
    <x v="4"/>
    <n v="0"/>
    <n v="0"/>
    <n v="62818"/>
  </r>
  <r>
    <s v="EMP038"/>
    <s v="David Davis"/>
    <x v="2"/>
    <s v="IT02"/>
    <d v="2018-09-17T00:00:00"/>
    <s v="7Years"/>
    <n v="61547"/>
    <n v="68"/>
    <s v="$61,547"/>
    <x v="0"/>
    <x v="0"/>
    <n v="0.02"/>
    <n v="1230.94"/>
    <n v="62777.94"/>
  </r>
  <r>
    <s v="EMP048"/>
    <s v="Richard Smith"/>
    <x v="5"/>
    <s v="HR01"/>
    <d v="2018-09-29T00:00:00"/>
    <s v="7Years"/>
    <n v="47694"/>
    <n v="75"/>
    <s v="$47,694"/>
    <x v="0"/>
    <x v="1"/>
    <n v="0.05"/>
    <n v="2384.7000000000003"/>
    <n v="50078.7"/>
  </r>
  <r>
    <s v="EMP097"/>
    <s v="William Gonzalez"/>
    <x v="3"/>
    <s v="OPS06"/>
    <d v="2018-12-02T00:00:00"/>
    <s v="7Years"/>
    <n v="68683"/>
    <n v="90"/>
    <s v="68683"/>
    <x v="0"/>
    <x v="2"/>
    <n v="0.8"/>
    <n v="54946.400000000001"/>
    <n v="123629.4"/>
  </r>
  <r>
    <s v="EMP036"/>
    <s v="A Smith"/>
    <x v="0"/>
    <s v="SAL05"/>
    <d v="2018-12-05T00:00:00"/>
    <s v="7Years"/>
    <n v="80140"/>
    <n v="58"/>
    <s v="80140"/>
    <x v="0"/>
    <x v="0"/>
    <n v="0.02"/>
    <n v="1602.8"/>
    <n v="81742.8"/>
  </r>
  <r>
    <s v="EMP087"/>
    <s v="Emily Johnson"/>
    <x v="0"/>
    <s v="SAL05"/>
    <d v="2018-12-30T00:00:00"/>
    <s v="7Years"/>
    <n v="80189"/>
    <n v="30"/>
    <s v="80189"/>
    <x v="0"/>
    <x v="4"/>
    <n v="0"/>
    <n v="0"/>
    <n v="80189"/>
  </r>
  <r>
    <s v="EMP122"/>
    <s v="A Jones"/>
    <x v="2"/>
    <s v="IT02"/>
    <d v="2019-01-12T00:00:00"/>
    <s v="7Years"/>
    <n v="112887"/>
    <n v="59"/>
    <s v="112887"/>
    <x v="0"/>
    <x v="0"/>
    <n v="0.02"/>
    <n v="2257.7400000000002"/>
    <n v="115144.74"/>
  </r>
  <r>
    <s v="EMP090"/>
    <s v="Sarah Miller"/>
    <x v="0"/>
    <s v="SAL05"/>
    <d v="2019-02-17T00:00:00"/>
    <s v="7Years"/>
    <n v="95686"/>
    <n v="91"/>
    <s v="$95,686"/>
    <x v="0"/>
    <x v="2"/>
    <n v="0.8"/>
    <n v="76548.800000000003"/>
    <n v="172234.8"/>
  </r>
  <r>
    <s v="EMP035"/>
    <s v="John Jones"/>
    <x v="2"/>
    <s v="IT02"/>
    <d v="2019-03-08T00:00:00"/>
    <s v="7Years"/>
    <n v="72457"/>
    <n v="33"/>
    <s v=""/>
    <x v="0"/>
    <x v="4"/>
    <n v="0"/>
    <n v="0"/>
    <n v="72457"/>
  </r>
  <r>
    <s v="EMP149"/>
    <s v="James Smith"/>
    <x v="3"/>
    <s v="OPS06"/>
    <d v="2019-03-25T00:00:00"/>
    <s v="7Years"/>
    <n v="66606"/>
    <n v="93"/>
    <s v="$66,606"/>
    <x v="2"/>
    <x v="2"/>
    <n v="0.8"/>
    <n v="53284.800000000003"/>
    <n v="119890.8"/>
  </r>
  <r>
    <s v="EMP111"/>
    <s v="Jane Gonzalez"/>
    <x v="4"/>
    <s v="FIN03"/>
    <d v="2019-04-20T00:00:00"/>
    <s v="7Years"/>
    <n v="45196"/>
    <n v="78"/>
    <s v="45196"/>
    <x v="1"/>
    <x v="1"/>
    <n v="0.05"/>
    <n v="2259.8000000000002"/>
    <n v="47455.8"/>
  </r>
  <r>
    <s v="EMP113"/>
    <s v="Richard Gonzalez"/>
    <x v="5"/>
    <s v="HR01"/>
    <d v="2019-05-05T00:00:00"/>
    <s v="7Years"/>
    <n v="51567"/>
    <n v="87"/>
    <s v="51567"/>
    <x v="2"/>
    <x v="2"/>
    <n v="0.8"/>
    <n v="41253.600000000006"/>
    <n v="92820.6"/>
  </r>
  <r>
    <s v="EMP124"/>
    <s v="Sarah Miller"/>
    <x v="1"/>
    <s v="MKT04"/>
    <d v="2019-05-14T00:00:00"/>
    <s v="7Years"/>
    <n v="72457"/>
    <n v="94"/>
    <s v=""/>
    <x v="0"/>
    <x v="2"/>
    <n v="0.8"/>
    <n v="57965.600000000006"/>
    <n v="130422.6"/>
  </r>
  <r>
    <s v="EMP117"/>
    <s v="Melissa Hernandez"/>
    <x v="3"/>
    <s v="OPS06"/>
    <d v="2019-05-24T00:00:00"/>
    <s v="7Years"/>
    <n v="108119"/>
    <n v="57"/>
    <s v="$108,119"/>
    <x v="2"/>
    <x v="0"/>
    <n v="0.02"/>
    <n v="2162.38"/>
    <n v="110281.38"/>
  </r>
  <r>
    <s v="EMP056"/>
    <s v="Sarah Brown"/>
    <x v="2"/>
    <s v="IT02"/>
    <d v="2019-06-10T00:00:00"/>
    <s v="7Years"/>
    <n v="90157"/>
    <n v="58"/>
    <s v="90157"/>
    <x v="0"/>
    <x v="0"/>
    <n v="0.02"/>
    <n v="1803.14"/>
    <n v="91960.14"/>
  </r>
  <r>
    <s v="EMP054"/>
    <s v="Thomas Jones"/>
    <x v="4"/>
    <s v="FIN03"/>
    <d v="2019-06-23T00:00:00"/>
    <s v="7Years"/>
    <n v="83932"/>
    <n v="57"/>
    <s v="83932"/>
    <x v="1"/>
    <x v="0"/>
    <n v="0.02"/>
    <n v="1678.64"/>
    <n v="85610.64"/>
  </r>
  <r>
    <s v="EMP133"/>
    <s v="Melissa Johnson"/>
    <x v="1"/>
    <s v="MKT04"/>
    <d v="2019-07-10T00:00:00"/>
    <s v="6Years"/>
    <n v="91749"/>
    <n v="72"/>
    <s v="91749"/>
    <x v="1"/>
    <x v="1"/>
    <n v="0.05"/>
    <n v="4587.45"/>
    <n v="96336.45"/>
  </r>
  <r>
    <s v="EMP037"/>
    <s v="Sarah Williams"/>
    <x v="2"/>
    <s v="IT02"/>
    <d v="2019-08-09T00:00:00"/>
    <s v="6Years"/>
    <n v="81896"/>
    <n v="79"/>
    <s v="81896"/>
    <x v="2"/>
    <x v="1"/>
    <n v="0.05"/>
    <n v="4094.8"/>
    <n v="85990.8"/>
  </r>
  <r>
    <s v="EMP129"/>
    <s v="John Wilson"/>
    <x v="0"/>
    <s v="SAL05"/>
    <d v="2019-09-24T00:00:00"/>
    <s v="6Years"/>
    <n v="77610"/>
    <n v="88"/>
    <s v="$77,610"/>
    <x v="0"/>
    <x v="2"/>
    <n v="0.8"/>
    <n v="62088"/>
    <n v="139698"/>
  </r>
  <r>
    <s v="EMP028"/>
    <s v="Thomas Rodriguez"/>
    <x v="4"/>
    <s v="FIN03"/>
    <d v="2019-10-07T00:00:00"/>
    <s v="6Years"/>
    <n v="55920"/>
    <n v="84"/>
    <s v="55920"/>
    <x v="0"/>
    <x v="1"/>
    <n v="0.05"/>
    <n v="2796"/>
    <n v="58716"/>
  </r>
  <r>
    <s v="EMP063"/>
    <s v="Emily Gonzalez"/>
    <x v="5"/>
    <s v="HR01"/>
    <d v="2019-11-27T00:00:00"/>
    <s v="6Years"/>
    <n v="86232"/>
    <n v="93"/>
    <s v="86232"/>
    <x v="0"/>
    <x v="2"/>
    <n v="0.8"/>
    <n v="68985.600000000006"/>
    <n v="155217.60000000001"/>
  </r>
  <r>
    <s v="EMP025"/>
    <s v="Robert Jones"/>
    <x v="1"/>
    <s v="MKT04"/>
    <d v="2019-12-21T00:00:00"/>
    <s v="6Years"/>
    <n v="80385"/>
    <n v="77"/>
    <s v="80385"/>
    <x v="0"/>
    <x v="1"/>
    <n v="0.05"/>
    <n v="4019.25"/>
    <n v="84404.25"/>
  </r>
  <r>
    <s v="EMP115"/>
    <s v="James Gonzalez"/>
    <x v="2"/>
    <s v="IT02"/>
    <d v="2020-02-18T00:00:00"/>
    <s v="6Years"/>
    <n v="53786"/>
    <n v="98"/>
    <s v="53786"/>
    <x v="0"/>
    <x v="3"/>
    <n v="0.12"/>
    <n v="6454.32"/>
    <n v="60240.32"/>
  </r>
  <r>
    <s v="EMP088"/>
    <s v="John Davis"/>
    <x v="2"/>
    <s v="IT02"/>
    <d v="2020-02-26T00:00:00"/>
    <s v="6Years"/>
    <n v="72457"/>
    <n v="96"/>
    <s v=""/>
    <x v="0"/>
    <x v="3"/>
    <n v="0.12"/>
    <n v="8694.84"/>
    <n v="81151.839999999997"/>
  </r>
  <r>
    <s v="EMP030"/>
    <s v="Emily Johnson"/>
    <x v="3"/>
    <s v="OPS06"/>
    <d v="2020-03-02T00:00:00"/>
    <s v="6Years"/>
    <n v="115882"/>
    <n v="49"/>
    <s v="115882"/>
    <x v="0"/>
    <x v="4"/>
    <n v="0"/>
    <n v="0"/>
    <n v="115882"/>
  </r>
  <r>
    <s v="EMP020"/>
    <s v="Emily Miller"/>
    <x v="0"/>
    <s v="SAL05"/>
    <d v="2020-03-21T00:00:00"/>
    <s v="6Years"/>
    <n v="118635"/>
    <n v="49"/>
    <s v="$118,635"/>
    <x v="0"/>
    <x v="4"/>
    <n v="0"/>
    <n v="0"/>
    <n v="118635"/>
  </r>
  <r>
    <s v="EMP128"/>
    <s v="Michael Smith"/>
    <x v="4"/>
    <s v="FIN03"/>
    <d v="2020-04-28T00:00:00"/>
    <s v="6Years"/>
    <n v="72457"/>
    <n v="80"/>
    <s v=""/>
    <x v="1"/>
    <x v="1"/>
    <n v="0.05"/>
    <n v="3622.8500000000004"/>
    <n v="76079.850000000006"/>
  </r>
  <r>
    <s v="EMP079"/>
    <s v="David Hernandez"/>
    <x v="0"/>
    <s v="SAL05"/>
    <d v="2020-05-07T00:00:00"/>
    <s v="6Years"/>
    <n v="52407"/>
    <n v="55"/>
    <s v="52407"/>
    <x v="0"/>
    <x v="0"/>
    <n v="0.02"/>
    <n v="1048.1400000000001"/>
    <n v="53455.14"/>
  </r>
  <r>
    <s v="EMP073"/>
    <s v="James Rodriguez"/>
    <x v="3"/>
    <s v="OPS06"/>
    <d v="2020-05-20T00:00:00"/>
    <s v="6Years"/>
    <n v="101997"/>
    <n v="38"/>
    <s v="101997"/>
    <x v="2"/>
    <x v="4"/>
    <n v="0"/>
    <n v="0"/>
    <n v="101997"/>
  </r>
  <r>
    <s v="EMP080"/>
    <s v="James Johnson"/>
    <x v="1"/>
    <s v="MKT04"/>
    <d v="2020-05-30T00:00:00"/>
    <s v="6Years"/>
    <n v="75023"/>
    <n v="53"/>
    <s v="$75,023"/>
    <x v="0"/>
    <x v="0"/>
    <n v="0.02"/>
    <n v="1500.46"/>
    <n v="76523.460000000006"/>
  </r>
  <r>
    <s v="EMP060"/>
    <s v="Amanda Brown"/>
    <x v="1"/>
    <s v="MKT04"/>
    <d v="2020-06-14T00:00:00"/>
    <s v="6Years"/>
    <n v="112791"/>
    <n v="87"/>
    <s v="$112,791"/>
    <x v="0"/>
    <x v="2"/>
    <n v="0.8"/>
    <n v="90232.8"/>
    <n v="203023.8"/>
  </r>
  <r>
    <s v="EMP070"/>
    <s v="Jane Miller"/>
    <x v="1"/>
    <s v="MKT04"/>
    <d v="2020-06-19T00:00:00"/>
    <s v="6Years"/>
    <n v="99990"/>
    <n v="54"/>
    <s v="99990"/>
    <x v="0"/>
    <x v="0"/>
    <n v="0.02"/>
    <n v="1999.8"/>
    <n v="101989.8"/>
  </r>
  <r>
    <s v="EMP121"/>
    <s v="James Johnson"/>
    <x v="5"/>
    <s v="HR01"/>
    <d v="2020-08-10T00:00:00"/>
    <s v="5Years"/>
    <n v="68092"/>
    <n v="93"/>
    <s v="$68,092"/>
    <x v="0"/>
    <x v="2"/>
    <n v="0.8"/>
    <n v="54473.600000000006"/>
    <n v="122565.6"/>
  </r>
  <r>
    <s v="EMP105"/>
    <s v="Richard Gonzalez"/>
    <x v="2"/>
    <s v="IT02"/>
    <d v="2020-08-30T00:00:00"/>
    <s v="5Years"/>
    <n v="82633"/>
    <n v="98"/>
    <s v="82633"/>
    <x v="0"/>
    <x v="3"/>
    <n v="0.12"/>
    <n v="9915.9599999999991"/>
    <n v="92548.959999999992"/>
  </r>
  <r>
    <s v="EMP067"/>
    <s v="Michael Anderson"/>
    <x v="5"/>
    <s v="HR01"/>
    <d v="2020-09-05T00:00:00"/>
    <s v="5Years"/>
    <n v="114748"/>
    <n v="33"/>
    <s v="114748"/>
    <x v="0"/>
    <x v="4"/>
    <n v="0"/>
    <n v="0"/>
    <n v="114748"/>
  </r>
  <r>
    <s v="EMP078"/>
    <s v="Jane Johnson"/>
    <x v="0"/>
    <s v="SAL05"/>
    <d v="2020-09-07T00:00:00"/>
    <s v="5Years"/>
    <n v="95292"/>
    <n v="34"/>
    <s v="95292"/>
    <x v="0"/>
    <x v="4"/>
    <n v="0"/>
    <n v="0"/>
    <n v="95292"/>
  </r>
  <r>
    <s v="EMP005"/>
    <s v="Thomas Garcia"/>
    <x v="3"/>
    <s v="OPS06"/>
    <d v="2020-11-13T00:00:00"/>
    <s v="5Years"/>
    <n v="72457"/>
    <n v="75"/>
    <s v=""/>
    <x v="0"/>
    <x v="1"/>
    <n v="0.05"/>
    <n v="3622.8500000000004"/>
    <n v="76079.850000000006"/>
  </r>
  <r>
    <s v="EMP098"/>
    <s v="Jessica Smith"/>
    <x v="3"/>
    <s v="OPS06"/>
    <d v="2020-12-09T00:00:00"/>
    <s v="5Years"/>
    <n v="68728"/>
    <n v="45"/>
    <s v="68728"/>
    <x v="0"/>
    <x v="4"/>
    <n v="0"/>
    <n v="0"/>
    <n v="68728"/>
  </r>
  <r>
    <s v="EMP119"/>
    <s v="Emily Garcia"/>
    <x v="5"/>
    <s v="HR01"/>
    <d v="2020-12-24T00:00:00"/>
    <s v="5Years"/>
    <n v="118947"/>
    <n v="96"/>
    <s v="118947"/>
    <x v="0"/>
    <x v="3"/>
    <n v="0.12"/>
    <n v="14273.64"/>
    <n v="133220.64000000001"/>
  </r>
  <r>
    <s v="EMP074"/>
    <s v="David Williams"/>
    <x v="4"/>
    <s v="FIN03"/>
    <d v="2021-02-07T00:00:00"/>
    <s v="5Years"/>
    <n v="72457"/>
    <n v="68"/>
    <s v=""/>
    <x v="0"/>
    <x v="0"/>
    <n v="0.02"/>
    <n v="1449.14"/>
    <n v="73906.14"/>
  </r>
  <r>
    <s v="EMP084"/>
    <s v="William Williams"/>
    <x v="1"/>
    <s v="MKT04"/>
    <d v="2021-06-02T00:00:00"/>
    <s v="5Years"/>
    <n v="66688"/>
    <n v="40"/>
    <s v="66688"/>
    <x v="1"/>
    <x v="4"/>
    <n v="0"/>
    <n v="0"/>
    <n v="66688"/>
  </r>
  <r>
    <s v="EMP013"/>
    <s v="Richard Hernandez"/>
    <x v="1"/>
    <s v="MKT04"/>
    <d v="2021-06-06T00:00:00"/>
    <s v="5Years"/>
    <n v="107871"/>
    <n v="88"/>
    <s v="107871"/>
    <x v="0"/>
    <x v="2"/>
    <n v="0.8"/>
    <n v="86296.8"/>
    <n v="194167.8"/>
  </r>
  <r>
    <s v="EMP016"/>
    <s v="Jane Williams"/>
    <x v="1"/>
    <s v="MKT04"/>
    <d v="2021-06-17T00:00:00"/>
    <s v="5Years"/>
    <n v="61408"/>
    <n v="48"/>
    <s v="61408"/>
    <x v="0"/>
    <x v="4"/>
    <n v="0"/>
    <n v="0"/>
    <n v="61408"/>
  </r>
  <r>
    <s v="EMP148"/>
    <s v="James Wilson"/>
    <x v="0"/>
    <s v="SAL05"/>
    <d v="2021-06-28T00:00:00"/>
    <s v="5Years"/>
    <n v="72457"/>
    <n v="52"/>
    <s v=""/>
    <x v="0"/>
    <x v="0"/>
    <n v="0.02"/>
    <n v="1449.14"/>
    <n v="73906.14"/>
  </r>
  <r>
    <s v="EMP142"/>
    <s v="James Jones"/>
    <x v="2"/>
    <s v="IT02"/>
    <d v="2021-07-17T00:00:00"/>
    <s v="4Years"/>
    <n v="91672"/>
    <n v="88"/>
    <s v="91672"/>
    <x v="0"/>
    <x v="2"/>
    <n v="0.8"/>
    <n v="73337.600000000006"/>
    <n v="165009.60000000001"/>
  </r>
  <r>
    <s v="EMP065"/>
    <s v="Melissa Williams"/>
    <x v="5"/>
    <s v="HR01"/>
    <d v="2021-07-25T00:00:00"/>
    <s v="4Years"/>
    <n v="72457"/>
    <n v="36"/>
    <s v=""/>
    <x v="0"/>
    <x v="4"/>
    <n v="0"/>
    <n v="0"/>
    <n v="72457"/>
  </r>
  <r>
    <s v="EMP014"/>
    <s v="Thomas Jones"/>
    <x v="3"/>
    <s v="OPS06"/>
    <d v="2021-08-13T00:00:00"/>
    <s v="4Years"/>
    <n v="109121"/>
    <n v="72"/>
    <s v="$109,121"/>
    <x v="0"/>
    <x v="1"/>
    <n v="0.05"/>
    <n v="5456.05"/>
    <n v="114577.05"/>
  </r>
  <r>
    <s v="EMP118"/>
    <s v="Melissa Anderson"/>
    <x v="3"/>
    <s v="OPS06"/>
    <d v="2021-08-14T00:00:00"/>
    <s v="4Years"/>
    <n v="46508"/>
    <n v="34"/>
    <s v="46508"/>
    <x v="0"/>
    <x v="4"/>
    <n v="0"/>
    <n v="0"/>
    <n v="46508"/>
  </r>
  <r>
    <s v="EMP141"/>
    <s v="Amanda Johnson"/>
    <x v="3"/>
    <s v="OPS06"/>
    <d v="2021-08-29T00:00:00"/>
    <s v="4Years"/>
    <n v="99935"/>
    <n v="84"/>
    <s v="99935"/>
    <x v="2"/>
    <x v="1"/>
    <n v="0.05"/>
    <n v="4996.75"/>
    <n v="104931.75"/>
  </r>
  <r>
    <s v="EMP130"/>
    <s v="Jane Garcia"/>
    <x v="1"/>
    <s v="MKT04"/>
    <d v="2021-08-29T00:00:00"/>
    <s v="4Years"/>
    <n v="83007"/>
    <n v="82"/>
    <s v="83007"/>
    <x v="0"/>
    <x v="1"/>
    <n v="0.05"/>
    <n v="4150.3500000000004"/>
    <n v="87157.35"/>
  </r>
  <r>
    <s v="EMP086"/>
    <s v="Emily Miller"/>
    <x v="0"/>
    <s v="SAL05"/>
    <d v="2021-09-07T00:00:00"/>
    <s v="4Years"/>
    <n v="70359"/>
    <n v="74"/>
    <s v="70359"/>
    <x v="1"/>
    <x v="1"/>
    <n v="0.05"/>
    <n v="3517.9500000000003"/>
    <n v="73876.95"/>
  </r>
  <r>
    <s v="EMP081"/>
    <s v="John Johnson"/>
    <x v="2"/>
    <s v="IT02"/>
    <d v="2021-10-13T00:00:00"/>
    <s v="4Years"/>
    <n v="73087"/>
    <n v="69"/>
    <s v="73087"/>
    <x v="0"/>
    <x v="0"/>
    <n v="0.02"/>
    <n v="1461.74"/>
    <n v="74548.740000000005"/>
  </r>
  <r>
    <s v="EMP144"/>
    <s v="Melissa Brown"/>
    <x v="2"/>
    <s v="IT02"/>
    <d v="2021-10-24T00:00:00"/>
    <s v="4Years"/>
    <n v="72457"/>
    <n v="69"/>
    <s v=""/>
    <x v="1"/>
    <x v="0"/>
    <n v="0.02"/>
    <n v="1449.14"/>
    <n v="73906.14"/>
  </r>
  <r>
    <s v="EMP007"/>
    <s v="Sarah Wilson"/>
    <x v="0"/>
    <s v="SAL05"/>
    <d v="2021-10-31T00:00:00"/>
    <s v="4Years"/>
    <n v="72457"/>
    <n v="49"/>
    <s v=""/>
    <x v="0"/>
    <x v="4"/>
    <n v="0"/>
    <n v="0"/>
    <n v="72457"/>
  </r>
  <r>
    <s v="EMP125"/>
    <s v="Jane Martinez"/>
    <x v="5"/>
    <s v="HR01"/>
    <d v="2022-01-17T00:00:00"/>
    <s v="4Years"/>
    <n v="59899"/>
    <n v="78"/>
    <s v="59899"/>
    <x v="0"/>
    <x v="1"/>
    <n v="0.05"/>
    <n v="2994.9500000000003"/>
    <n v="62893.95"/>
  </r>
  <r>
    <s v="EMP069"/>
    <s v="Jane Davis"/>
    <x v="5"/>
    <s v="HR01"/>
    <d v="2022-02-20T00:00:00"/>
    <s v="4Years"/>
    <n v="93290"/>
    <n v="53"/>
    <s v="93290"/>
    <x v="0"/>
    <x v="0"/>
    <n v="0.02"/>
    <n v="1865.8"/>
    <n v="95155.8"/>
  </r>
  <r>
    <s v="EMP022"/>
    <s v="Melissa Hernandez"/>
    <x v="3"/>
    <s v="OPS06"/>
    <d v="2022-03-19T00:00:00"/>
    <s v="4Years"/>
    <n v="108395"/>
    <n v="78"/>
    <s v="108395"/>
    <x v="1"/>
    <x v="1"/>
    <n v="0.05"/>
    <n v="5419.75"/>
    <n v="113814.75"/>
  </r>
  <r>
    <s v="EMP059"/>
    <s v="John Martinez"/>
    <x v="5"/>
    <s v="HR01"/>
    <d v="2022-03-23T00:00:00"/>
    <s v="4Years"/>
    <n v="111920"/>
    <n v="90"/>
    <s v="111920"/>
    <x v="1"/>
    <x v="2"/>
    <n v="0.8"/>
    <n v="89536"/>
    <n v="201456"/>
  </r>
  <r>
    <s v="EMP064"/>
    <s v="Michael Wilson"/>
    <x v="1"/>
    <s v="MKT04"/>
    <d v="2022-04-02T00:00:00"/>
    <s v="4Years"/>
    <n v="88155"/>
    <n v="68"/>
    <s v="88155"/>
    <x v="0"/>
    <x v="0"/>
    <n v="0.02"/>
    <n v="1763.1000000000001"/>
    <n v="89918.1"/>
  </r>
  <r>
    <s v="EMP046"/>
    <s v="Richard Hernandez"/>
    <x v="1"/>
    <s v="MKT04"/>
    <d v="2022-04-08T00:00:00"/>
    <s v="4Years"/>
    <n v="112673"/>
    <n v="54"/>
    <s v="112673"/>
    <x v="0"/>
    <x v="0"/>
    <n v="0.02"/>
    <n v="2253.46"/>
    <n v="114926.46"/>
  </r>
  <r>
    <s v="EMP018"/>
    <s v="David Rodriguez"/>
    <x v="2"/>
    <s v="IT02"/>
    <d v="2022-04-23T00:00:00"/>
    <s v="4Years"/>
    <n v="77819"/>
    <n v="79"/>
    <s v="77819"/>
    <x v="0"/>
    <x v="1"/>
    <n v="0.05"/>
    <n v="3890.9500000000003"/>
    <n v="81709.95"/>
  </r>
  <r>
    <s v="EMP107"/>
    <s v="Emily Martinez"/>
    <x v="3"/>
    <s v="OPS06"/>
    <d v="2022-05-30T00:00:00"/>
    <s v="4Years"/>
    <n v="47794"/>
    <n v="73"/>
    <s v="47794"/>
    <x v="1"/>
    <x v="1"/>
    <n v="0.05"/>
    <n v="2389.7000000000003"/>
    <n v="50183.7"/>
  </r>
  <r>
    <s v="EMP082"/>
    <s v="Ashley Williams"/>
    <x v="0"/>
    <s v="SAL05"/>
    <d v="2022-06-16T00:00:00"/>
    <s v="4Years"/>
    <n v="68655"/>
    <n v="32"/>
    <s v="68655"/>
    <x v="0"/>
    <x v="4"/>
    <n v="0"/>
    <n v="0"/>
    <n v="68655"/>
  </r>
  <r>
    <s v="EMP068"/>
    <s v="Melissa Brown"/>
    <x v="0"/>
    <s v="SAL05"/>
    <d v="2022-06-29T00:00:00"/>
    <s v="4Years"/>
    <n v="69219"/>
    <n v="93"/>
    <s v="69219"/>
    <x v="0"/>
    <x v="2"/>
    <n v="0.8"/>
    <n v="55375.200000000004"/>
    <n v="124594.20000000001"/>
  </r>
  <r>
    <s v="EMP135"/>
    <s v="Robert Martinez"/>
    <x v="2"/>
    <s v="IT02"/>
    <d v="2022-07-05T00:00:00"/>
    <s v="4Years"/>
    <n v="118008"/>
    <n v="71"/>
    <s v="118008"/>
    <x v="0"/>
    <x v="1"/>
    <n v="0.05"/>
    <n v="5900.4000000000005"/>
    <n v="123908.4"/>
  </r>
  <r>
    <s v="EMP062"/>
    <s v="Thomas Williams"/>
    <x v="4"/>
    <s v="FIN03"/>
    <d v="2022-07-17T00:00:00"/>
    <s v="3Years"/>
    <n v="98299"/>
    <n v="61"/>
    <s v="98299"/>
    <x v="0"/>
    <x v="0"/>
    <n v="0.02"/>
    <n v="1965.98"/>
    <n v="100264.98"/>
  </r>
  <r>
    <s v="EMP146"/>
    <s v="Thomas Rodriguez"/>
    <x v="2"/>
    <s v="IT02"/>
    <d v="2022-07-23T00:00:00"/>
    <s v="3Years"/>
    <n v="50873"/>
    <n v="90"/>
    <s v="$50,873"/>
    <x v="0"/>
    <x v="2"/>
    <n v="0.8"/>
    <n v="40698.400000000001"/>
    <n v="91571.4"/>
  </r>
  <r>
    <s v="EMP043"/>
    <s v="John Wilson"/>
    <x v="3"/>
    <s v="OPS06"/>
    <d v="2022-08-03T00:00:00"/>
    <s v="3Years"/>
    <n v="111845"/>
    <n v="98"/>
    <s v="111845"/>
    <x v="0"/>
    <x v="3"/>
    <n v="0.12"/>
    <n v="13421.4"/>
    <n v="125266.4"/>
  </r>
  <r>
    <s v="EMP010"/>
    <s v="Michael Rodriguez"/>
    <x v="2"/>
    <s v="IT02"/>
    <d v="2022-09-11T00:00:00"/>
    <s v="3Years"/>
    <n v="93956"/>
    <n v="50"/>
    <s v="93956"/>
    <x v="1"/>
    <x v="0"/>
    <n v="0.02"/>
    <n v="1879.1200000000001"/>
    <n v="95835.12"/>
  </r>
  <r>
    <s v="EMP041"/>
    <s v="James Gonzalez"/>
    <x v="0"/>
    <s v="SAL05"/>
    <d v="2022-09-15T00:00:00"/>
    <s v="3Years"/>
    <n v="72457"/>
    <n v="65"/>
    <s v=""/>
    <x v="1"/>
    <x v="0"/>
    <n v="0.02"/>
    <n v="1449.14"/>
    <n v="73906.14"/>
  </r>
  <r>
    <s v="EMP091"/>
    <s v="Thomas Davis"/>
    <x v="3"/>
    <s v="OPS06"/>
    <d v="2022-09-23T00:00:00"/>
    <s v="3Years"/>
    <n v="72457"/>
    <n v="46"/>
    <s v=""/>
    <x v="1"/>
    <x v="4"/>
    <n v="0"/>
    <n v="0"/>
    <n v="72457"/>
  </r>
  <r>
    <s v="EMP103"/>
    <s v="Amanda Brown"/>
    <x v="2"/>
    <s v="IT02"/>
    <d v="2022-10-14T00:00:00"/>
    <s v="3Years"/>
    <n v="118634"/>
    <n v="91"/>
    <s v="$118,634"/>
    <x v="0"/>
    <x v="2"/>
    <n v="0.8"/>
    <n v="94907.200000000012"/>
    <n v="213541.2"/>
  </r>
  <r>
    <s v="EMP003"/>
    <s v="Melissa Rodriguez"/>
    <x v="3"/>
    <s v="OPS06"/>
    <d v="2023-01-04T00:00:00"/>
    <s v="3Years"/>
    <n v="60623"/>
    <n v="78"/>
    <s v="60623"/>
    <x v="0"/>
    <x v="1"/>
    <n v="0.05"/>
    <n v="3031.15"/>
    <n v="63654.15"/>
  </r>
  <r>
    <s v="EMP112"/>
    <s v="Thomas Smith"/>
    <x v="2"/>
    <s v="IT02"/>
    <d v="2023-02-20T00:00:00"/>
    <s v="3Years"/>
    <n v="73785"/>
    <n v="40"/>
    <s v="73785"/>
    <x v="1"/>
    <x v="4"/>
    <n v="0"/>
    <n v="0"/>
    <n v="73785"/>
  </r>
  <r>
    <s v="EMP075"/>
    <s v="Richard Davis"/>
    <x v="5"/>
    <s v="HR01"/>
    <d v="2023-03-06T00:00:00"/>
    <s v="3Years"/>
    <n v="106896"/>
    <n v="52"/>
    <s v="106896"/>
    <x v="1"/>
    <x v="0"/>
    <n v="0.02"/>
    <n v="2137.92"/>
    <n v="109033.92"/>
  </r>
  <r>
    <s v="EMP138"/>
    <s v="Sarah Rodriguez"/>
    <x v="5"/>
    <s v="HR01"/>
    <d v="2023-04-20T00:00:00"/>
    <s v="3Years"/>
    <n v="115260"/>
    <n v="77"/>
    <s v="115260"/>
    <x v="0"/>
    <x v="1"/>
    <n v="0.05"/>
    <n v="5763"/>
    <n v="121023"/>
  </r>
  <r>
    <s v="EMP021"/>
    <s v="William Rodriguez"/>
    <x v="4"/>
    <s v="FIN03"/>
    <d v="2023-04-21T00:00:00"/>
    <s v="3Years"/>
    <n v="85457"/>
    <n v="79"/>
    <s v="85457"/>
    <x v="0"/>
    <x v="1"/>
    <n v="0.05"/>
    <n v="4272.8500000000004"/>
    <n v="89729.85"/>
  </r>
  <r>
    <s v="EMP044"/>
    <s v="William Davis"/>
    <x v="2"/>
    <s v="IT02"/>
    <d v="2023-05-09T00:00:00"/>
    <s v="3Years"/>
    <n v="49942"/>
    <n v="51"/>
    <s v="$49,942"/>
    <x v="0"/>
    <x v="0"/>
    <n v="0.02"/>
    <n v="998.84"/>
    <n v="50940.84"/>
  </r>
  <r>
    <s v="EMP089"/>
    <s v="Sarah Smith"/>
    <x v="0"/>
    <s v="SAL05"/>
    <d v="2023-05-11T00:00:00"/>
    <s v="3Years"/>
    <n v="110618"/>
    <n v="88"/>
    <s v="$110,618"/>
    <x v="2"/>
    <x v="2"/>
    <n v="0.8"/>
    <n v="88494.400000000009"/>
    <n v="199112.40000000002"/>
  </r>
  <r>
    <s v="EMP139"/>
    <s v="John Martinez"/>
    <x v="4"/>
    <s v="FIN03"/>
    <d v="2023-07-03T00:00:00"/>
    <s v="3Years"/>
    <n v="103831"/>
    <n v="70"/>
    <s v="103831"/>
    <x v="0"/>
    <x v="1"/>
    <n v="0.05"/>
    <n v="5191.55"/>
    <n v="109022.55"/>
  </r>
  <r>
    <s v="EMP042"/>
    <s v="Jane Anderson"/>
    <x v="2"/>
    <s v="IT02"/>
    <d v="2023-07-05T00:00:00"/>
    <s v="3Years"/>
    <n v="72457"/>
    <n v="54"/>
    <s v=""/>
    <x v="0"/>
    <x v="0"/>
    <n v="0.02"/>
    <n v="1449.14"/>
    <n v="73906.14"/>
  </r>
  <r>
    <s v="EMP052"/>
    <s v="A Williams"/>
    <x v="0"/>
    <s v="SAL05"/>
    <d v="2023-07-27T00:00:00"/>
    <s v="2Years"/>
    <n v="81205"/>
    <n v="59"/>
    <s v="81205"/>
    <x v="0"/>
    <x v="0"/>
    <n v="0.02"/>
    <n v="1624.1000000000001"/>
    <n v="82829.100000000006"/>
  </r>
  <r>
    <s v="EMP031"/>
    <s v="Thomas Rodriguez"/>
    <x v="0"/>
    <s v="SAL05"/>
    <d v="2023-08-31T00:00:00"/>
    <s v="2Years"/>
    <n v="65290"/>
    <n v="77"/>
    <s v="65290"/>
    <x v="0"/>
    <x v="1"/>
    <n v="0.05"/>
    <n v="3264.5"/>
    <n v="68554.5"/>
  </r>
  <r>
    <s v="EMP114"/>
    <s v="Melissa Wilson"/>
    <x v="2"/>
    <s v="IT02"/>
    <d v="2023-09-02T00:00:00"/>
    <s v="2Years"/>
    <n v="83724"/>
    <n v="81"/>
    <s v="83724"/>
    <x v="2"/>
    <x v="1"/>
    <n v="0.05"/>
    <n v="4186.2"/>
    <n v="87910.2"/>
  </r>
  <r>
    <s v="EMP137"/>
    <s v="Michael Johnson"/>
    <x v="2"/>
    <s v="IT02"/>
    <d v="2023-09-26T00:00:00"/>
    <s v="2Years"/>
    <n v="66069"/>
    <n v="72"/>
    <s v="66069"/>
    <x v="0"/>
    <x v="1"/>
    <n v="0.05"/>
    <n v="3303.4500000000003"/>
    <n v="69372.45"/>
  </r>
  <r>
    <s v="EMP034"/>
    <s v="John Johnson"/>
    <x v="2"/>
    <s v="IT02"/>
    <d v="2023-10-04T00:00:00"/>
    <s v="2Years"/>
    <n v="52287"/>
    <n v="70"/>
    <s v="52287"/>
    <x v="0"/>
    <x v="1"/>
    <n v="0.05"/>
    <n v="2614.3500000000004"/>
    <n v="54901.35"/>
  </r>
  <r>
    <s v="EMP102"/>
    <s v="Emily Wilson"/>
    <x v="0"/>
    <s v="SAL05"/>
    <d v="2023-10-18T00:00:00"/>
    <s v="2Years"/>
    <n v="110381"/>
    <n v="93"/>
    <s v="110381"/>
    <x v="0"/>
    <x v="2"/>
    <n v="0.8"/>
    <n v="88304.8"/>
    <n v="198685.8"/>
  </r>
  <r>
    <s v="EMP061"/>
    <s v="Emily Brown"/>
    <x v="2"/>
    <s v="IT02"/>
    <d v="2023-11-25T00:00:00"/>
    <s v="2Years"/>
    <n v="49435"/>
    <n v="93"/>
    <s v="49435"/>
    <x v="1"/>
    <x v="2"/>
    <n v="0.8"/>
    <n v="39548"/>
    <n v="88983"/>
  </r>
  <r>
    <s v="EMP096"/>
    <s v="John Wilson"/>
    <x v="3"/>
    <s v="OPS06"/>
    <d v="2023-12-12T00:00:00"/>
    <s v="2Years"/>
    <n v="59980"/>
    <n v="70"/>
    <s v="59980"/>
    <x v="1"/>
    <x v="1"/>
    <n v="0.05"/>
    <n v="2999"/>
    <n v="62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E8F95-B095-4BA2-B206-DC1E62353E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mployment Status">
  <location ref="L32:L33" firstHeaderRow="1" firstDataRow="1" firstDataCol="0"/>
  <pivotFields count="14">
    <pivotField dataField="1" showAll="0"/>
    <pivotField showAll="0"/>
    <pivotField showAll="0">
      <items count="7">
        <item x="4"/>
        <item x="5"/>
        <item x="2"/>
        <item x="1"/>
        <item x="3"/>
        <item x="0"/>
        <item t="default"/>
      </items>
    </pivotField>
    <pivotField showAll="0"/>
    <pivotField numFmtId="14" showAll="0"/>
    <pivotField showAll="0"/>
    <pivotField numFmtId="164" showAll="0"/>
    <pivotField showAll="0"/>
    <pivotField showAll="0"/>
    <pivotField showAll="0">
      <items count="4">
        <item x="0"/>
        <item x="1"/>
        <item h="1" x="2"/>
        <item t="default"/>
      </items>
    </pivotField>
    <pivotField showAll="0">
      <items count="6">
        <item x="1"/>
        <item x="0"/>
        <item x="2"/>
        <item x="4"/>
        <item x="3"/>
        <item t="default"/>
      </items>
    </pivotField>
    <pivotField showAll="0"/>
    <pivotField numFmtId="164" showAll="0"/>
    <pivotField numFmtId="164" showAll="0"/>
  </pivotFields>
  <rowItems count="1">
    <i/>
  </rowItems>
  <colItems count="1">
    <i/>
  </colItems>
  <dataFields count="1">
    <dataField name="Count of Employee ID" fld="0" subtotal="count" baseField="0" baseItem="0"/>
  </dataFields>
  <formats count="1">
    <format dxfId="23">
      <pivotArea grandRow="1" outline="0" collapsedLevelsAreSubtotals="1"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ECD8DF-09A4-4D16-A406-F0081E1DC1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mployment Status">
  <location ref="J33:J34" firstHeaderRow="1" firstDataRow="1" firstDataCol="0"/>
  <pivotFields count="14">
    <pivotField showAll="0"/>
    <pivotField showAll="0"/>
    <pivotField showAll="0">
      <items count="7">
        <item x="4"/>
        <item x="5"/>
        <item x="2"/>
        <item x="1"/>
        <item x="3"/>
        <item x="0"/>
        <item t="default"/>
      </items>
    </pivotField>
    <pivotField showAll="0"/>
    <pivotField numFmtId="14" showAll="0"/>
    <pivotField showAll="0"/>
    <pivotField dataField="1" numFmtId="164" showAll="0"/>
    <pivotField showAll="0"/>
    <pivotField showAll="0"/>
    <pivotField showAll="0">
      <items count="4">
        <item x="0"/>
        <item x="1"/>
        <item h="1" x="2"/>
        <item t="default"/>
      </items>
    </pivotField>
    <pivotField showAll="0">
      <items count="6">
        <item x="1"/>
        <item x="0"/>
        <item x="2"/>
        <item x="4"/>
        <item x="3"/>
        <item t="default"/>
      </items>
    </pivotField>
    <pivotField showAll="0"/>
    <pivotField numFmtId="164" showAll="0"/>
    <pivotField numFmtId="164" showAll="0"/>
  </pivotFields>
  <rowItems count="1">
    <i/>
  </rowItems>
  <colItems count="1">
    <i/>
  </colItems>
  <dataFields count="1">
    <dataField name="Sum of Salary" fld="6" baseField="0" baseItem="0" numFmtId="5"/>
  </dataFields>
  <formats count="2">
    <format dxfId="25">
      <pivotArea grandRow="1" outline="0" collapsedLevelsAreSubtotals="1" fieldPosition="0"/>
    </format>
    <format dxfId="24">
      <pivotArea outline="0" fieldPosition="0">
        <references count="1">
          <reference field="4294967294" count="1">
            <x v="0"/>
          </reference>
        </references>
      </pivotArea>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CD93E-E41C-4D4F-9767-8EFFEE94BF4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erformance Band">
  <location ref="K7:L13" firstHeaderRow="1" firstDataRow="1" firstDataCol="1"/>
  <pivotFields count="14">
    <pivotField showAll="0"/>
    <pivotField showAll="0"/>
    <pivotField showAll="0">
      <items count="7">
        <item x="4"/>
        <item x="5"/>
        <item x="2"/>
        <item x="1"/>
        <item x="3"/>
        <item x="0"/>
        <item t="default"/>
      </items>
    </pivotField>
    <pivotField showAll="0"/>
    <pivotField numFmtId="14" showAll="0"/>
    <pivotField showAll="0"/>
    <pivotField numFmtId="164" showAll="0"/>
    <pivotField showAll="0"/>
    <pivotField showAll="0"/>
    <pivotField showAll="0">
      <items count="4">
        <item x="0"/>
        <item x="1"/>
        <item h="1" x="2"/>
        <item t="default"/>
      </items>
    </pivotField>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s>
  <rowFields count="1">
    <field x="10"/>
  </rowFields>
  <rowItems count="6">
    <i>
      <x v="2"/>
    </i>
    <i>
      <x/>
    </i>
    <i>
      <x v="4"/>
    </i>
    <i>
      <x v="1"/>
    </i>
    <i>
      <x v="3"/>
    </i>
    <i t="grand">
      <x/>
    </i>
  </rowItems>
  <colItems count="1">
    <i/>
  </colItems>
  <dataFields count="1">
    <dataField name="Sum of Bonus Payout" fld="12" baseField="0" baseItem="0" numFmtId="164"/>
  </dataFields>
  <chartFormats count="2">
    <chartFormat chart="0" format="6"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4D3B32-7A66-495D-8E23-957FBE6891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Employment Status">
  <location ref="A32:B35" firstHeaderRow="1" firstDataRow="1" firstDataCol="1"/>
  <pivotFields count="14">
    <pivotField showAll="0"/>
    <pivotField showAll="0"/>
    <pivotField showAll="0">
      <items count="7">
        <item x="4"/>
        <item x="5"/>
        <item x="2"/>
        <item x="1"/>
        <item x="3"/>
        <item x="0"/>
        <item t="default"/>
      </items>
    </pivotField>
    <pivotField showAll="0"/>
    <pivotField numFmtId="14" showAll="0"/>
    <pivotField showAll="0"/>
    <pivotField numFmtId="164" showAll="0"/>
    <pivotField dataField="1" showAll="0"/>
    <pivotField showAll="0"/>
    <pivotField axis="axisRow"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items count="6">
        <item x="1"/>
        <item x="0"/>
        <item x="2"/>
        <item x="4"/>
        <item x="3"/>
        <item t="default"/>
      </items>
    </pivotField>
    <pivotField showAll="0"/>
    <pivotField numFmtId="164" showAll="0"/>
    <pivotField numFmtId="164" showAll="0"/>
  </pivotFields>
  <rowFields count="1">
    <field x="9"/>
  </rowFields>
  <rowItems count="3">
    <i>
      <x/>
    </i>
    <i>
      <x v="1"/>
    </i>
    <i t="grand">
      <x/>
    </i>
  </rowItems>
  <colItems count="1">
    <i/>
  </colItems>
  <dataFields count="1">
    <dataField name="Average of Performance Score" fld="7" subtotal="average" baseField="8" baseItem="0"/>
  </dataFields>
  <formats count="5">
    <format dxfId="30">
      <pivotArea collapsedLevelsAreSubtotals="1" fieldPosition="0">
        <references count="1">
          <reference field="9" count="1">
            <x v="0"/>
          </reference>
        </references>
      </pivotArea>
    </format>
    <format dxfId="29">
      <pivotArea collapsedLevelsAreSubtotals="1" fieldPosition="0">
        <references count="1">
          <reference field="9" count="1">
            <x v="1"/>
          </reference>
        </references>
      </pivotArea>
    </format>
    <format dxfId="28">
      <pivotArea collapsedLevelsAreSubtotals="1" fieldPosition="0">
        <references count="1">
          <reference field="9" count="1">
            <x v="1"/>
          </reference>
        </references>
      </pivotArea>
    </format>
    <format dxfId="27">
      <pivotArea collapsedLevelsAreSubtotals="1" fieldPosition="0">
        <references count="1">
          <reference field="9" count="1">
            <x v="1"/>
          </reference>
        </references>
      </pivotArea>
    </format>
    <format dxfId="26">
      <pivotArea grandRow="1" outline="0" collapsedLevelsAreSubtotals="1" fieldPosition="0"/>
    </format>
  </formats>
  <chartFormats count="2">
    <chartFormat chart="0"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5A8538-D781-4C2E-81BC-771EB4FF4A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s">
  <location ref="F6:G13" firstHeaderRow="1" firstDataRow="1" firstDataCol="1"/>
  <pivotFields count="14">
    <pivotField dataField="1" showAll="0"/>
    <pivotField showAll="0"/>
    <pivotField axis="axisRow" showAll="0">
      <items count="7">
        <item x="4"/>
        <item x="5"/>
        <item x="2"/>
        <item x="1"/>
        <item x="3"/>
        <item x="0"/>
        <item t="default"/>
      </items>
    </pivotField>
    <pivotField showAll="0"/>
    <pivotField numFmtId="14" showAll="0"/>
    <pivotField showAll="0"/>
    <pivotField numFmtId="164" showAll="0"/>
    <pivotField showAll="0"/>
    <pivotField showAll="0"/>
    <pivotField showAll="0" defaultSubtotal="0">
      <items count="3">
        <item x="0"/>
        <item x="1"/>
        <item h="1" x="2"/>
      </items>
    </pivotField>
    <pivotField showAll="0">
      <items count="6">
        <item x="1"/>
        <item x="0"/>
        <item x="2"/>
        <item x="4"/>
        <item x="3"/>
        <item t="default"/>
      </items>
    </pivotField>
    <pivotField showAll="0"/>
    <pivotField numFmtId="164" showAll="0"/>
    <pivotField numFmtId="164" showAll="0"/>
  </pivotFields>
  <rowFields count="1">
    <field x="2"/>
  </rowFields>
  <rowItems count="7">
    <i>
      <x/>
    </i>
    <i>
      <x v="1"/>
    </i>
    <i>
      <x v="2"/>
    </i>
    <i>
      <x v="3"/>
    </i>
    <i>
      <x v="4"/>
    </i>
    <i>
      <x v="5"/>
    </i>
    <i t="grand">
      <x/>
    </i>
  </rowItems>
  <colItems count="1">
    <i/>
  </colItems>
  <dataFields count="1">
    <dataField name="Count of Employee ID" fld="0" subtotal="count" baseField="2" baseItem="0" numFmtId="9">
      <extLst>
        <ext xmlns:x14="http://schemas.microsoft.com/office/spreadsheetml/2009/9/main" uri="{E15A36E0-9728-4e99-A89B-3F7291B0FE68}">
          <x14:dataField pivotShowAs="percentOfParentRow"/>
        </ext>
      </extLst>
    </dataField>
  </dataFields>
  <formats count="1">
    <format dxfId="31">
      <pivotArea outline="0" collapsedLevelsAreSubtotals="1" fieldPosition="0"/>
    </format>
  </formats>
  <chartFormats count="2">
    <chartFormat chart="6" format="11"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4F3E9B-F8F0-4C74-AF8B-BEC9DC4B0F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Departments">
  <location ref="A6:C13" firstHeaderRow="0" firstDataRow="1" firstDataCol="1"/>
  <pivotFields count="14">
    <pivotField dataField="1" showAll="0"/>
    <pivotField showAll="0"/>
    <pivotField axis="axisRow" showAll="0" sortType="descending">
      <items count="7">
        <item x="4"/>
        <item x="5"/>
        <item x="2"/>
        <item x="1"/>
        <item x="3"/>
        <item x="0"/>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dataField="1" numFmtId="164" showAll="0"/>
    <pivotField showAll="0"/>
    <pivotField showAll="0"/>
    <pivotField showAll="0">
      <items count="4">
        <item x="0"/>
        <item x="1"/>
        <item h="1" x="2"/>
        <item t="default"/>
      </items>
    </pivotField>
    <pivotField showAll="0">
      <items count="6">
        <item x="1"/>
        <item x="0"/>
        <item x="2"/>
        <item x="4"/>
        <item x="3"/>
        <item t="default"/>
      </items>
    </pivotField>
    <pivotField showAll="0"/>
    <pivotField numFmtId="164" showAll="0"/>
    <pivotField numFmtId="164" showAll="0"/>
  </pivotFields>
  <rowFields count="1">
    <field x="2"/>
  </rowFields>
  <rowItems count="7">
    <i>
      <x v="2"/>
    </i>
    <i>
      <x v="5"/>
    </i>
    <i>
      <x v="4"/>
    </i>
    <i>
      <x v="3"/>
    </i>
    <i>
      <x v="1"/>
    </i>
    <i>
      <x/>
    </i>
    <i t="grand">
      <x/>
    </i>
  </rowItems>
  <colFields count="1">
    <field x="-2"/>
  </colFields>
  <colItems count="2">
    <i>
      <x/>
    </i>
    <i i="1">
      <x v="1"/>
    </i>
  </colItems>
  <dataFields count="2">
    <dataField name="Count of Employees" fld="0" subtotal="count" baseField="2" baseItem="0"/>
    <dataField name="Average of Salary" fld="6" subtotal="average" baseField="2"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7FCB3A-69E1-468C-AAC0-C3FE68864305}" autoFormatId="16" applyNumberFormats="0" applyBorderFormats="0" applyFontFormats="0" applyPatternFormats="0" applyAlignmentFormats="0" applyWidthHeightFormats="0">
  <queryTableRefresh nextId="21" unboundColumnsRight="4">
    <queryTableFields count="13">
      <queryTableField id="1" name="Employee ID" tableColumnId="1"/>
      <queryTableField id="7" name="Full Name" tableColumnId="7"/>
      <queryTableField id="8" dataBound="0" tableColumnId="8"/>
      <queryTableField id="2" name="Dept Code" tableColumnId="2"/>
      <queryTableField id="3" name="Hire Date" tableColumnId="3"/>
      <queryTableField id="12" dataBound="0" tableColumnId="10"/>
      <queryTableField id="4" name="Salary" tableColumnId="4"/>
      <queryTableField id="5" name="Performance Score" tableColumnId="5"/>
      <queryTableField id="6" name="Employment Status" tableColumnId="6"/>
      <queryTableField id="13" dataBound="0" tableColumnId="11"/>
      <queryTableField id="14" dataBound="0" tableColumnId="12"/>
      <queryTableField id="15" dataBound="0" tableColumnId="9"/>
      <queryTableField id="16" dataBound="0" tableColumnId="13"/>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2C08A6F-0549-4141-9922-2123324D770D}" sourceName="Department">
  <pivotTables>
    <pivotTable tabId="7" name="PivotTable1"/>
    <pivotTable tabId="7" name="PivotTable10"/>
    <pivotTable tabId="7" name="PivotTable4"/>
    <pivotTable tabId="7" name="PivotTable9"/>
    <pivotTable tabId="7" name="PivotTable2"/>
    <pivotTable tabId="7" name="PivotTable3"/>
  </pivotTables>
  <data>
    <tabular pivotCacheId="1920911821">
      <items count="6">
        <i x="4" s="1"/>
        <i x="5"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5F8AF691-6291-4B7E-8550-C7651DBA5750}" sourceName="Employment Status">
  <pivotTables>
    <pivotTable tabId="7" name="PivotTable1"/>
    <pivotTable tabId="7" name="PivotTable10"/>
    <pivotTable tabId="7" name="PivotTable4"/>
    <pivotTable tabId="7" name="PivotTable9"/>
    <pivotTable tabId="7" name="PivotTable2"/>
    <pivotTable tabId="7" name="PivotTable3"/>
  </pivotTables>
  <data>
    <tabular pivotCacheId="1920911821">
      <items count="3">
        <i x="0" s="1"/>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ce_Band" xr10:uid="{F61F6791-CD15-4696-B83A-3B66888B35E1}" sourceName="Performace Band">
  <pivotTables>
    <pivotTable tabId="7" name="PivotTable1"/>
    <pivotTable tabId="7" name="PivotTable10"/>
    <pivotTable tabId="7" name="PivotTable4"/>
    <pivotTable tabId="7" name="PivotTable9"/>
    <pivotTable tabId="7" name="PivotTable2"/>
    <pivotTable tabId="7" name="PivotTable3"/>
  </pivotTables>
  <data>
    <tabular pivotCacheId="1920911821">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02BDA96-8182-4823-A3E1-B348156D764D}" cache="Slicer_Department" caption="Department" style="SlicerStyleLight6" rowHeight="241300"/>
  <slicer name="Employment Status" xr10:uid="{1B7392AB-451C-4212-8F9A-57B02B0CA187}" cache="Slicer_Employment_Status" caption="Employment Status" style="SlicerStyleLight6" rowHeight="241300"/>
  <slicer name="Performace Band" xr10:uid="{000B3E66-4BF5-432D-B096-7CE893FEF1A9}" cache="Slicer_Performace_Band" caption="Performace Band"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E38F8E-C9E5-4551-9902-F51CCE96997A}" name="Cleaned" displayName="Cleaned" ref="B1:N151" tableType="queryTable" totalsRowShown="0" headerRowDxfId="22">
  <autoFilter ref="B1:N151" xr:uid="{68E38F8E-C9E5-4551-9902-F51CCE96997A}"/>
  <sortState xmlns:xlrd2="http://schemas.microsoft.com/office/spreadsheetml/2017/richdata2" ref="B2:N151">
    <sortCondition ref="F1:F151"/>
  </sortState>
  <tableColumns count="13">
    <tableColumn id="1" xr3:uid="{B01CD201-9EB6-4AF6-A220-4DCD062A8233}" uniqueName="1" name="Employee ID" queryTableFieldId="1" dataDxfId="21"/>
    <tableColumn id="7" xr3:uid="{A0B3C1AE-8DCD-4956-B567-877DB08AEFF3}" uniqueName="7" name="Full Name" queryTableFieldId="7" dataDxfId="20"/>
    <tableColumn id="8" xr3:uid="{06F9B141-2CE9-41F4-8261-F980A0A6A84B}" uniqueName="8" name="Department" queryTableFieldId="8" dataDxfId="19">
      <calculatedColumnFormula>VLOOKUP(Cleaned[[#This Row],[Dept Code]], Lookup_Departments!$A$2:$B$7, 2,FALSE)</calculatedColumnFormula>
    </tableColumn>
    <tableColumn id="2" xr3:uid="{E6903C83-C460-42D5-9C87-92F54436B4D8}" uniqueName="2" name="Dept Code" queryTableFieldId="2" dataDxfId="18"/>
    <tableColumn id="3" xr3:uid="{29A3E73C-89B2-4388-BF0E-6057754B7ED3}" uniqueName="3" name="Hire Date" queryTableFieldId="3" dataDxfId="17"/>
    <tableColumn id="10" xr3:uid="{7E53D425-CEC9-476A-A09E-C73A557A2E7D}" uniqueName="10" name="Years of Service" queryTableFieldId="12" dataDxfId="16">
      <calculatedColumnFormula>DATEDIF(Cleaned[[#This Row],[Hire Date]], TODAY(), "Y")&amp; "Years"</calculatedColumnFormula>
    </tableColumn>
    <tableColumn id="4" xr3:uid="{260DFBB3-E49D-4811-BBE1-E333C4C84186}" uniqueName="4" name="Salary" queryTableFieldId="4" dataDxfId="15" dataCellStyle="Currency"/>
    <tableColumn id="5" xr3:uid="{5F713643-A256-47F2-AA24-DB877411A055}" uniqueName="5" name="Performance Score" queryTableFieldId="5"/>
    <tableColumn id="6" xr3:uid="{786BFE42-6570-4626-9F47-41F5A1BA5ED7}" uniqueName="6" name="Employment Status" queryTableFieldId="6" dataDxfId="14"/>
    <tableColumn id="11" xr3:uid="{65AD5308-F8D9-4657-99FF-17E264D8E8F4}" uniqueName="11" name="Performace Band" queryTableFieldId="13" dataDxfId="13">
      <calculatedColumnFormula array="1">_xlfn.IFS(I2&lt;=49,"Needs Improvement", I2&lt;=69, "Developing", I2&lt;=84, "Achieving", I2&lt;=94, "Exceeding", I2&gt;94, "Outstanding")</calculatedColumnFormula>
    </tableColumn>
    <tableColumn id="12" xr3:uid="{2156C4F9-926A-4CDF-88A3-7AE7ECB3D098}" uniqueName="12" name="Bonus Percentage" queryTableFieldId="14" dataDxfId="12">
      <calculatedColumnFormula array="1">_xlfn.IFS(K2="Needs Improvement", 0, K2="Developing", 0.02, K2= "Achieving", 0.05, K2="Exceeding",0.8, K2="Outstanding", 0.12)</calculatedColumnFormula>
    </tableColumn>
    <tableColumn id="9" xr3:uid="{8D9FBC6F-DCEA-4B31-9D96-EC4D27614779}" uniqueName="9" name="Bonus Payout" queryTableFieldId="15" dataDxfId="11" dataCellStyle="Currency">
      <calculatedColumnFormula>Cleaned[[#This Row],[Salary]]*Cleaned[[#This Row],[Bonus Percentage]]</calculatedColumnFormula>
    </tableColumn>
    <tableColumn id="13" xr3:uid="{C39AD611-E57C-47AB-8124-AC819DECC9A5}" uniqueName="13" name="Actual Pay" queryTableFieldId="16" dataDxfId="10">
      <calculatedColumnFormula>Cleaned[[#This Row],[Salary]]+Cleaned[[#This Row],[Bonus Payout]]</calculatedColumnFormula>
    </tableColumn>
  </tableColumns>
  <tableStyleInfo name="TableStyleMedium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9F73BB-DFC2-4446-8B27-21566F0AF8D2}" name="Table3" displayName="Table3" ref="A1:B7" totalsRowShown="0" headerRowDxfId="9" headerRowBorderDxfId="8" tableBorderDxfId="7">
  <autoFilter ref="A1:B7" xr:uid="{9E9F73BB-DFC2-4446-8B27-21566F0AF8D2}">
    <filterColumn colId="0" hiddenButton="1"/>
    <filterColumn colId="1" hiddenButton="1"/>
  </autoFilter>
  <tableColumns count="2">
    <tableColumn id="1" xr3:uid="{E8327CB9-094F-4E57-A039-12A66F00B82C}" name="Dept_Code"/>
    <tableColumn id="2" xr3:uid="{3B19F86F-412D-45CC-824A-A80F0A71FE17}" name="Department_Name"/>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BE05BE-AD18-4EBC-978B-8F23C56A1508}" name="Table4" displayName="Table4" ref="A1:D6" totalsRowShown="0" headerRowDxfId="6" headerRowBorderDxfId="5" tableBorderDxfId="4">
  <autoFilter ref="A1:D6" xr:uid="{A3BE05BE-AD18-4EBC-978B-8F23C56A1508}">
    <filterColumn colId="0" hiddenButton="1"/>
    <filterColumn colId="1" hiddenButton="1"/>
    <filterColumn colId="2" hiddenButton="1"/>
    <filterColumn colId="3" hiddenButton="1"/>
  </autoFilter>
  <tableColumns count="4">
    <tableColumn id="1" xr3:uid="{4CA1832B-017E-4569-ACA5-6F4CB9F96886}" name="Min_Score"/>
    <tableColumn id="2" xr3:uid="{B8589C6F-9963-4FB9-9D5F-1CD4B5D99B91}" name="Max_Score"/>
    <tableColumn id="3" xr3:uid="{297A3EAD-DF6C-4A3C-9FDD-C567CF3E5BE7}" name="Performance_Band"/>
    <tableColumn id="4" xr3:uid="{82163F24-D852-4E10-9A77-A8F8C51351A7}" name="Bonus_Percentage"/>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F6915D-05FF-42DF-8749-18D43AFD3910}" name="Table1" displayName="Table1" ref="A1:H158" totalsRowShown="0" headerRowDxfId="3" headerRowBorderDxfId="2" tableBorderDxfId="1">
  <autoFilter ref="A1:H158" xr:uid="{C6F6915D-05FF-42DF-8749-18D43AFD3910}"/>
  <tableColumns count="8">
    <tableColumn id="1" xr3:uid="{49A7DD70-A04A-4C8F-B529-0566196B35CF}" name="Emp ID"/>
    <tableColumn id="2" xr3:uid="{6606A120-7DD4-4CCF-A754-D2B75B884A4A}" name="First_Name"/>
    <tableColumn id="3" xr3:uid="{C2E40D5E-C9B2-4246-ACDE-774B107B2D9A}" name="Last_Name"/>
    <tableColumn id="4" xr3:uid="{8EAB53BE-4EDB-4979-BCB3-818B5129760A}" name="Dept Code"/>
    <tableColumn id="5" xr3:uid="{B18EE592-FF9F-4743-9561-F5C9D7F44E86}" name="Hire Date" dataDxfId="0"/>
    <tableColumn id="6" xr3:uid="{2DBA0B62-56BD-4174-86F7-1534E0A2F197}" name="Salary"/>
    <tableColumn id="7" xr3:uid="{284769DC-FD4D-4232-A30F-4C669EC67755}" name="Perf_Score"/>
    <tableColumn id="8" xr3:uid="{3722595F-7D37-4023-AF8B-ED46B1379CC2}" name="Employment 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98E3-C404-4CB6-AC81-E49CABEC11AC}">
  <sheetPr>
    <tabColor theme="9" tint="-0.249977111117893"/>
  </sheetPr>
  <dimension ref="J1:AC20"/>
  <sheetViews>
    <sheetView showGridLines="0" tabSelected="1" zoomScale="70" zoomScaleNormal="70" workbookViewId="0">
      <selection activeCell="AB20" sqref="AB20"/>
    </sheetView>
  </sheetViews>
  <sheetFormatPr defaultRowHeight="15" x14ac:dyDescent="0.25"/>
  <sheetData>
    <row r="1" spans="10:29" ht="27.75" customHeight="1" x14ac:dyDescent="0.25"/>
    <row r="8" spans="10:29" x14ac:dyDescent="0.25">
      <c r="AC8" t="s">
        <v>343</v>
      </c>
    </row>
    <row r="10" spans="10:29" x14ac:dyDescent="0.25">
      <c r="J10" t="s">
        <v>335</v>
      </c>
    </row>
    <row r="20" spans="28:28" x14ac:dyDescent="0.25">
      <c r="AB20" t="s">
        <v>335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32DB5-3E25-4305-BC80-1A938185DDC6}">
  <sheetPr>
    <tabColor theme="9" tint="-0.499984740745262"/>
  </sheetPr>
  <dimension ref="A5:L44"/>
  <sheetViews>
    <sheetView topLeftCell="A12" zoomScale="85" zoomScaleNormal="85" workbookViewId="0">
      <selection activeCell="E28" sqref="E28"/>
    </sheetView>
  </sheetViews>
  <sheetFormatPr defaultRowHeight="15" x14ac:dyDescent="0.25"/>
  <cols>
    <col min="1" max="1" width="20.7109375" bestFit="1" customWidth="1"/>
    <col min="2" max="2" width="28.28515625" bestFit="1" customWidth="1"/>
    <col min="3" max="3" width="16.42578125" bestFit="1" customWidth="1"/>
    <col min="4" max="4" width="9.140625" bestFit="1" customWidth="1"/>
    <col min="5" max="5" width="11.28515625" bestFit="1" customWidth="1"/>
    <col min="6" max="6" width="23.28515625" bestFit="1" customWidth="1"/>
    <col min="7" max="7" width="20.42578125" bestFit="1" customWidth="1"/>
    <col min="8" max="8" width="7.7109375" hidden="1" customWidth="1"/>
    <col min="9" max="9" width="12.42578125" bestFit="1" customWidth="1"/>
    <col min="10" max="10" width="12.85546875" bestFit="1" customWidth="1"/>
    <col min="11" max="11" width="20" bestFit="1" customWidth="1"/>
    <col min="12" max="12" width="20.42578125" bestFit="1" customWidth="1"/>
    <col min="13" max="13" width="23.42578125" bestFit="1" customWidth="1"/>
    <col min="14" max="14" width="32.7109375" bestFit="1" customWidth="1"/>
    <col min="15" max="15" width="25.5703125" bestFit="1" customWidth="1"/>
  </cols>
  <sheetData>
    <row r="5" spans="1:12" ht="27" x14ac:dyDescent="0.4">
      <c r="A5" s="26" t="s">
        <v>327</v>
      </c>
      <c r="B5" s="26"/>
      <c r="C5" s="26"/>
      <c r="E5" s="13"/>
      <c r="F5" s="25" t="s">
        <v>328</v>
      </c>
      <c r="G5" s="25"/>
      <c r="H5" s="25"/>
      <c r="I5" s="13"/>
      <c r="K5" s="25" t="s">
        <v>330</v>
      </c>
      <c r="L5" s="25"/>
    </row>
    <row r="6" spans="1:12" x14ac:dyDescent="0.25">
      <c r="A6" s="6" t="s">
        <v>332</v>
      </c>
      <c r="B6" t="s">
        <v>333</v>
      </c>
      <c r="C6" t="s">
        <v>322</v>
      </c>
      <c r="F6" s="6" t="s">
        <v>332</v>
      </c>
      <c r="G6" t="s">
        <v>323</v>
      </c>
      <c r="K6" s="24"/>
      <c r="L6" s="24"/>
    </row>
    <row r="7" spans="1:12" x14ac:dyDescent="0.25">
      <c r="A7" s="7" t="s">
        <v>191</v>
      </c>
      <c r="B7" s="27">
        <v>34</v>
      </c>
      <c r="C7" s="8">
        <v>78738.441176470587</v>
      </c>
      <c r="F7" s="7" t="s">
        <v>192</v>
      </c>
      <c r="G7" s="10">
        <v>0.12142857142857143</v>
      </c>
      <c r="K7" s="6" t="s">
        <v>331</v>
      </c>
      <c r="L7" t="s">
        <v>326</v>
      </c>
    </row>
    <row r="8" spans="1:12" x14ac:dyDescent="0.25">
      <c r="A8" s="7" t="s">
        <v>194</v>
      </c>
      <c r="B8" s="27">
        <v>29</v>
      </c>
      <c r="C8" s="8">
        <v>82899.137931034478</v>
      </c>
      <c r="F8" s="7" t="s">
        <v>190</v>
      </c>
      <c r="G8" s="10">
        <v>0.12142857142857143</v>
      </c>
      <c r="K8" s="7" t="s">
        <v>203</v>
      </c>
      <c r="L8" s="8">
        <v>1316600.7999999998</v>
      </c>
    </row>
    <row r="9" spans="1:12" x14ac:dyDescent="0.25">
      <c r="A9" s="7" t="s">
        <v>195</v>
      </c>
      <c r="B9" s="27">
        <v>24</v>
      </c>
      <c r="C9" s="8">
        <v>75290.416666666672</v>
      </c>
      <c r="F9" s="7" t="s">
        <v>191</v>
      </c>
      <c r="G9" s="10">
        <v>0.24285714285714285</v>
      </c>
      <c r="K9" s="7" t="s">
        <v>202</v>
      </c>
      <c r="L9" s="8">
        <v>160371.40000000002</v>
      </c>
    </row>
    <row r="10" spans="1:12" x14ac:dyDescent="0.25">
      <c r="A10" s="7" t="s">
        <v>193</v>
      </c>
      <c r="B10" s="27">
        <v>19</v>
      </c>
      <c r="C10" s="8">
        <v>84821.263157894733</v>
      </c>
      <c r="F10" s="7" t="s">
        <v>193</v>
      </c>
      <c r="G10" s="10">
        <v>0.1357142857142857</v>
      </c>
      <c r="K10" s="7" t="s">
        <v>204</v>
      </c>
      <c r="L10" s="8">
        <v>91073.88</v>
      </c>
    </row>
    <row r="11" spans="1:12" x14ac:dyDescent="0.25">
      <c r="A11" s="7" t="s">
        <v>190</v>
      </c>
      <c r="B11" s="27">
        <v>17</v>
      </c>
      <c r="C11" s="8">
        <v>86878.76470588235</v>
      </c>
      <c r="F11" s="7" t="s">
        <v>195</v>
      </c>
      <c r="G11" s="10">
        <v>0.17142857142857143</v>
      </c>
      <c r="K11" s="7" t="s">
        <v>201</v>
      </c>
      <c r="L11" s="8">
        <v>69012.42</v>
      </c>
    </row>
    <row r="12" spans="1:12" x14ac:dyDescent="0.25">
      <c r="A12" s="7" t="s">
        <v>192</v>
      </c>
      <c r="B12" s="27">
        <v>17</v>
      </c>
      <c r="C12" s="8">
        <v>85206.470588235301</v>
      </c>
      <c r="F12" s="7" t="s">
        <v>194</v>
      </c>
      <c r="G12" s="10">
        <v>0.20714285714285716</v>
      </c>
      <c r="K12" s="7" t="s">
        <v>200</v>
      </c>
      <c r="L12" s="8">
        <v>0</v>
      </c>
    </row>
    <row r="13" spans="1:12" x14ac:dyDescent="0.25">
      <c r="A13" s="7" t="s">
        <v>321</v>
      </c>
      <c r="B13" s="27">
        <v>140</v>
      </c>
      <c r="C13" s="8">
        <v>81608.607142857145</v>
      </c>
      <c r="F13" s="7" t="s">
        <v>321</v>
      </c>
      <c r="G13" s="10">
        <v>1</v>
      </c>
      <c r="K13" s="7" t="s">
        <v>321</v>
      </c>
      <c r="L13" s="8">
        <v>1637058.5</v>
      </c>
    </row>
    <row r="24" spans="1:12" x14ac:dyDescent="0.25">
      <c r="C24" s="9"/>
    </row>
    <row r="31" spans="1:12" ht="19.5" x14ac:dyDescent="0.25">
      <c r="A31" s="25" t="s">
        <v>329</v>
      </c>
      <c r="B31" s="25"/>
    </row>
    <row r="32" spans="1:12" x14ac:dyDescent="0.25">
      <c r="A32" s="6" t="s">
        <v>3</v>
      </c>
      <c r="B32" t="s">
        <v>324</v>
      </c>
      <c r="L32" t="s">
        <v>323</v>
      </c>
    </row>
    <row r="33" spans="1:12" x14ac:dyDescent="0.25">
      <c r="A33" s="7" t="s">
        <v>21</v>
      </c>
      <c r="B33" s="11">
        <v>67.577586206896555</v>
      </c>
      <c r="J33" t="s">
        <v>340</v>
      </c>
      <c r="L33" s="11">
        <v>140</v>
      </c>
    </row>
    <row r="34" spans="1:12" ht="19.5" x14ac:dyDescent="0.25">
      <c r="A34" s="7" t="s">
        <v>13</v>
      </c>
      <c r="B34" s="11">
        <v>67.25</v>
      </c>
      <c r="F34" s="21" t="s">
        <v>342</v>
      </c>
      <c r="J34" s="16">
        <v>11425205</v>
      </c>
    </row>
    <row r="35" spans="1:12" x14ac:dyDescent="0.25">
      <c r="A35" s="7" t="s">
        <v>321</v>
      </c>
      <c r="B35" s="11">
        <v>67.521428571428572</v>
      </c>
      <c r="F35" s="19"/>
    </row>
    <row r="36" spans="1:12" x14ac:dyDescent="0.25">
      <c r="F36" s="22" t="s">
        <v>336</v>
      </c>
      <c r="G36" s="14">
        <v>82117.67333333334</v>
      </c>
    </row>
    <row r="38" spans="1:12" x14ac:dyDescent="0.25">
      <c r="F38" s="22" t="s">
        <v>337</v>
      </c>
      <c r="G38" s="14">
        <v>1895807.5699999998</v>
      </c>
    </row>
    <row r="40" spans="1:12" x14ac:dyDescent="0.25">
      <c r="F40" s="20" t="s">
        <v>338</v>
      </c>
      <c r="G40" s="15">
        <v>0.24</v>
      </c>
    </row>
    <row r="42" spans="1:12" x14ac:dyDescent="0.25">
      <c r="F42" s="20" t="s">
        <v>339</v>
      </c>
      <c r="G42" s="17">
        <v>12317651</v>
      </c>
    </row>
    <row r="44" spans="1:12" x14ac:dyDescent="0.25">
      <c r="F44" s="20" t="s">
        <v>341</v>
      </c>
      <c r="G44" s="18">
        <v>150</v>
      </c>
    </row>
  </sheetData>
  <mergeCells count="5">
    <mergeCell ref="K6:L6"/>
    <mergeCell ref="K5:L5"/>
    <mergeCell ref="F5:H5"/>
    <mergeCell ref="A31:B31"/>
    <mergeCell ref="A5:C5"/>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052F2-7A5E-4462-8931-56A384F54883}">
  <sheetPr>
    <tabColor theme="9" tint="0.79998168889431442"/>
  </sheetPr>
  <dimension ref="B1:W157"/>
  <sheetViews>
    <sheetView zoomScaleNormal="100" workbookViewId="0"/>
  </sheetViews>
  <sheetFormatPr defaultRowHeight="15" x14ac:dyDescent="0.25"/>
  <cols>
    <col min="1" max="1" width="24.85546875" customWidth="1"/>
    <col min="2" max="2" width="17.85546875" bestFit="1" customWidth="1"/>
    <col min="3" max="3" width="18.28515625" bestFit="1" customWidth="1"/>
    <col min="4" max="4" width="22.5703125" bestFit="1" customWidth="1"/>
    <col min="5" max="5" width="15.42578125" bestFit="1" customWidth="1"/>
    <col min="6" max="6" width="14.42578125" bestFit="1" customWidth="1"/>
    <col min="7" max="7" width="21.85546875" bestFit="1" customWidth="1"/>
    <col min="8" max="8" width="12.140625" style="4" bestFit="1" customWidth="1"/>
    <col min="9" max="9" width="25.42578125" bestFit="1" customWidth="1"/>
    <col min="10" max="10" width="26" bestFit="1" customWidth="1"/>
    <col min="11" max="11" width="23.28515625" bestFit="1" customWidth="1"/>
    <col min="12" max="12" width="24.42578125" bestFit="1" customWidth="1"/>
    <col min="13" max="13" width="21" bestFit="1" customWidth="1"/>
    <col min="14" max="14" width="20.140625" style="4" bestFit="1" customWidth="1"/>
    <col min="15" max="15" width="20.140625" bestFit="1" customWidth="1"/>
    <col min="16" max="16" width="12.28515625" customWidth="1"/>
  </cols>
  <sheetData>
    <row r="1" spans="2:23" s="3" customFormat="1" ht="18.75" x14ac:dyDescent="0.3">
      <c r="B1" s="3" t="s">
        <v>205</v>
      </c>
      <c r="C1" s="3" t="s">
        <v>207</v>
      </c>
      <c r="D1" s="3" t="s">
        <v>317</v>
      </c>
      <c r="E1" s="3" t="s">
        <v>0</v>
      </c>
      <c r="F1" s="3" t="s">
        <v>1</v>
      </c>
      <c r="G1" s="3" t="s">
        <v>318</v>
      </c>
      <c r="H1" s="5" t="s">
        <v>2</v>
      </c>
      <c r="I1" s="3" t="s">
        <v>206</v>
      </c>
      <c r="J1" s="3" t="s">
        <v>3</v>
      </c>
      <c r="K1" s="3" t="s">
        <v>319</v>
      </c>
      <c r="L1" s="3" t="s">
        <v>320</v>
      </c>
      <c r="M1" s="5" t="s">
        <v>325</v>
      </c>
      <c r="N1" s="3" t="s">
        <v>443</v>
      </c>
    </row>
    <row r="2" spans="2:23" x14ac:dyDescent="0.25">
      <c r="B2" t="s">
        <v>120</v>
      </c>
      <c r="C2" t="s">
        <v>281</v>
      </c>
      <c r="D2" t="str">
        <f>VLOOKUP(Cleaned[[#This Row],[Dept Code]], Lookup_Departments!$A$2:$B$7, 2,FALSE)</f>
        <v>Sales</v>
      </c>
      <c r="E2" t="s">
        <v>20</v>
      </c>
      <c r="F2" s="2">
        <v>42008</v>
      </c>
      <c r="G2" t="str">
        <f ca="1">DATEDIF(Cleaned[[#This Row],[Hire Date]], TODAY(), "Y")&amp; "Years"</f>
        <v>11Years</v>
      </c>
      <c r="H2" s="4">
        <v>115288</v>
      </c>
      <c r="I2">
        <v>61</v>
      </c>
      <c r="J2" t="s">
        <v>21</v>
      </c>
      <c r="K2" t="str" cm="1">
        <f t="array" ref="K2">_xlfn.IFS(I2&lt;=49,"Needs Improvement", I2&lt;=69, "Developing", I2&lt;=84, "Achieving", I2&lt;=94, "Exceeding", I2&gt;94, "Outstanding")</f>
        <v>Developing</v>
      </c>
      <c r="L2" cm="1">
        <f t="array" ref="L2">_xlfn.IFS(K2="Needs Improvement", 0, K2="Developing", 0.02, K2= "Achieving", 0.05, K2="Exceeding",0.8, K2="Outstanding", 0.12)</f>
        <v>0.02</v>
      </c>
      <c r="M2" s="4">
        <f>Cleaned[[#This Row],[Salary]]*Cleaned[[#This Row],[Bonus Percentage]]</f>
        <v>2305.7600000000002</v>
      </c>
      <c r="N2" s="8">
        <f>Cleaned[[#This Row],[Salary]]+Cleaned[[#This Row],[Bonus Payout]]</f>
        <v>117593.76</v>
      </c>
    </row>
    <row r="3" spans="2:23" x14ac:dyDescent="0.25">
      <c r="B3" t="s">
        <v>126</v>
      </c>
      <c r="C3" t="s">
        <v>287</v>
      </c>
      <c r="D3" t="str">
        <f>VLOOKUP(Cleaned[[#This Row],[Dept Code]], Lookup_Departments!$A$2:$B$7, 2,FALSE)</f>
        <v>Marketing</v>
      </c>
      <c r="E3" t="s">
        <v>7</v>
      </c>
      <c r="F3" s="2">
        <v>42074</v>
      </c>
      <c r="G3" t="str">
        <f ca="1">DATEDIF(Cleaned[[#This Row],[Hire Date]], TODAY(), "Y")&amp; "Years"</f>
        <v>11Years</v>
      </c>
      <c r="H3" s="4">
        <v>101750</v>
      </c>
      <c r="I3">
        <v>84</v>
      </c>
      <c r="J3" t="s">
        <v>13</v>
      </c>
      <c r="K3" t="str" cm="1">
        <f t="array" ref="K3">_xlfn.IFS(I3&lt;=49,"Needs Improvement", I3&lt;=69, "Developing", I3&lt;=84, "Achieving", I3&lt;=94, "Exceeding", I3&gt;94, "Outstanding")</f>
        <v>Achieving</v>
      </c>
      <c r="L3" cm="1">
        <f t="array" ref="L3">_xlfn.IFS(K3="Needs Improvement", 0, K3="Developing", 0.02, K3= "Achieving", 0.05, K3="Exceeding",0.8, K3="Outstanding", 0.12)</f>
        <v>0.05</v>
      </c>
      <c r="M3" s="4">
        <f>Cleaned[[#This Row],[Salary]]*Cleaned[[#This Row],[Bonus Percentage]]</f>
        <v>5087.5</v>
      </c>
      <c r="N3" s="8">
        <f>Cleaned[[#This Row],[Salary]]+Cleaned[[#This Row],[Bonus Payout]]</f>
        <v>106837.5</v>
      </c>
    </row>
    <row r="4" spans="2:23" x14ac:dyDescent="0.25">
      <c r="B4" t="s">
        <v>81</v>
      </c>
      <c r="C4" t="s">
        <v>262</v>
      </c>
      <c r="D4" t="str">
        <f>VLOOKUP(Cleaned[[#This Row],[Dept Code]], Lookup_Departments!$A$2:$B$7, 2,FALSE)</f>
        <v>Information Technology</v>
      </c>
      <c r="E4" t="s">
        <v>5</v>
      </c>
      <c r="F4" s="2">
        <v>42122</v>
      </c>
      <c r="G4" t="str">
        <f ca="1">DATEDIF(Cleaned[[#This Row],[Hire Date]], TODAY(), "Y")&amp; "Years"</f>
        <v>11Years</v>
      </c>
      <c r="H4" s="4">
        <v>75519</v>
      </c>
      <c r="I4">
        <v>64</v>
      </c>
      <c r="J4" t="s">
        <v>21</v>
      </c>
      <c r="K4" t="str" cm="1">
        <f t="array" ref="K4">_xlfn.IFS(I4&lt;=49,"Needs Improvement", I4&lt;=69, "Developing", I4&lt;=84, "Achieving", I4&lt;=94, "Exceeding", I4&gt;94, "Outstanding")</f>
        <v>Developing</v>
      </c>
      <c r="L4" cm="1">
        <f t="array" ref="L4">_xlfn.IFS(K4="Needs Improvement", 0, K4="Developing", 0.02, K4= "Achieving", 0.05, K4="Exceeding",0.8, K4="Outstanding", 0.12)</f>
        <v>0.02</v>
      </c>
      <c r="M4" s="4">
        <f>Cleaned[[#This Row],[Salary]]*Cleaned[[#This Row],[Bonus Percentage]]</f>
        <v>1510.38</v>
      </c>
      <c r="N4" s="8">
        <f>Cleaned[[#This Row],[Salary]]+Cleaned[[#This Row],[Bonus Payout]]</f>
        <v>77029.38</v>
      </c>
    </row>
    <row r="5" spans="2:23" x14ac:dyDescent="0.25">
      <c r="B5" t="s">
        <v>176</v>
      </c>
      <c r="C5" t="s">
        <v>305</v>
      </c>
      <c r="D5" t="str">
        <f>VLOOKUP(Cleaned[[#This Row],[Dept Code]], Lookup_Departments!$A$2:$B$7, 2,FALSE)</f>
        <v>Sales</v>
      </c>
      <c r="E5" t="s">
        <v>20</v>
      </c>
      <c r="F5" s="2">
        <v>42175</v>
      </c>
      <c r="G5" t="str">
        <f ca="1">DATEDIF(Cleaned[[#This Row],[Hire Date]], TODAY(), "Y")&amp; "Years"</f>
        <v>11Years</v>
      </c>
      <c r="H5" s="4">
        <v>72457</v>
      </c>
      <c r="I5">
        <v>94</v>
      </c>
      <c r="J5" t="s">
        <v>60</v>
      </c>
      <c r="K5" t="str" cm="1">
        <f t="array" ref="K5">_xlfn.IFS(I5&lt;=49,"Needs Improvement", I5&lt;=69, "Developing", I5&lt;=84, "Achieving", I5&lt;=94, "Exceeding", I5&gt;94, "Outstanding")</f>
        <v>Exceeding</v>
      </c>
      <c r="L5" cm="1">
        <f t="array" ref="L5">_xlfn.IFS(K5="Needs Improvement", 0, K5="Developing", 0.02, K5= "Achieving", 0.05, K5="Exceeding",0.8, K5="Outstanding", 0.12)</f>
        <v>0.8</v>
      </c>
      <c r="M5" s="4">
        <f>Cleaned[[#This Row],[Salary]]*Cleaned[[#This Row],[Bonus Percentage]]</f>
        <v>57965.600000000006</v>
      </c>
      <c r="N5" s="8">
        <f>Cleaned[[#This Row],[Salary]]+Cleaned[[#This Row],[Bonus Payout]]</f>
        <v>130422.6</v>
      </c>
    </row>
    <row r="6" spans="2:23" x14ac:dyDescent="0.25">
      <c r="B6" t="s">
        <v>92</v>
      </c>
      <c r="C6" t="s">
        <v>268</v>
      </c>
      <c r="D6" t="str">
        <f>VLOOKUP(Cleaned[[#This Row],[Dept Code]], Lookup_Departments!$A$2:$B$7, 2,FALSE)</f>
        <v>Sales</v>
      </c>
      <c r="E6" t="s">
        <v>20</v>
      </c>
      <c r="F6" s="2">
        <v>42192</v>
      </c>
      <c r="G6" t="str">
        <f ca="1">DATEDIF(Cleaned[[#This Row],[Hire Date]], TODAY(), "Y")&amp; "Years"</f>
        <v>10Years</v>
      </c>
      <c r="H6" s="4">
        <v>65235</v>
      </c>
      <c r="I6">
        <v>97</v>
      </c>
      <c r="J6" t="s">
        <v>21</v>
      </c>
      <c r="K6" t="str" cm="1">
        <f t="array" ref="K6">_xlfn.IFS(I6&lt;=49,"Needs Improvement", I6&lt;=69, "Developing", I6&lt;=84, "Achieving", I6&lt;=94, "Exceeding", I6&gt;94, "Outstanding")</f>
        <v>Outstanding</v>
      </c>
      <c r="L6" cm="1">
        <f t="array" ref="L6">_xlfn.IFS(K6="Needs Improvement", 0, K6="Developing", 0.02, K6= "Achieving", 0.05, K6="Exceeding",0.8, K6="Outstanding", 0.12)</f>
        <v>0.12</v>
      </c>
      <c r="M6" s="4">
        <f>Cleaned[[#This Row],[Salary]]*Cleaned[[#This Row],[Bonus Percentage]]</f>
        <v>7828.2</v>
      </c>
      <c r="N6" s="8">
        <f>Cleaned[[#This Row],[Salary]]+Cleaned[[#This Row],[Bonus Payout]]</f>
        <v>73063.199999999997</v>
      </c>
      <c r="W6" s="2">
        <f ca="1">TODAY()</f>
        <v>46209</v>
      </c>
    </row>
    <row r="7" spans="2:23" x14ac:dyDescent="0.25">
      <c r="B7" t="s">
        <v>44</v>
      </c>
      <c r="C7" t="s">
        <v>234</v>
      </c>
      <c r="D7" t="str">
        <f>VLOOKUP(Cleaned[[#This Row],[Dept Code]], Lookup_Departments!$A$2:$B$7, 2,FALSE)</f>
        <v>Sales</v>
      </c>
      <c r="E7" t="s">
        <v>20</v>
      </c>
      <c r="F7" s="2">
        <v>42202</v>
      </c>
      <c r="G7" t="str">
        <f ca="1">DATEDIF(Cleaned[[#This Row],[Hire Date]], TODAY(), "Y")&amp; "Years"</f>
        <v>10Years</v>
      </c>
      <c r="H7" s="4">
        <v>72457</v>
      </c>
      <c r="I7">
        <v>68</v>
      </c>
      <c r="J7" t="s">
        <v>21</v>
      </c>
      <c r="K7" t="str" cm="1">
        <f t="array" ref="K7">_xlfn.IFS(I7&lt;=49,"Needs Improvement", I7&lt;=69, "Developing", I7&lt;=84, "Achieving", I7&lt;=94, "Exceeding", I7&gt;94, "Outstanding")</f>
        <v>Developing</v>
      </c>
      <c r="L7" cm="1">
        <f t="array" ref="L7">_xlfn.IFS(K7="Needs Improvement", 0, K7="Developing", 0.02, K7= "Achieving", 0.05, K7="Exceeding",0.8, K7="Outstanding", 0.12)</f>
        <v>0.02</v>
      </c>
      <c r="M7" s="4">
        <f>Cleaned[[#This Row],[Salary]]*Cleaned[[#This Row],[Bonus Percentage]]</f>
        <v>1449.14</v>
      </c>
      <c r="N7" s="8">
        <f>Cleaned[[#This Row],[Salary]]+Cleaned[[#This Row],[Bonus Payout]]</f>
        <v>73906.14</v>
      </c>
    </row>
    <row r="8" spans="2:23" x14ac:dyDescent="0.25">
      <c r="B8" t="s">
        <v>45</v>
      </c>
      <c r="C8" t="s">
        <v>235</v>
      </c>
      <c r="D8" t="str">
        <f>VLOOKUP(Cleaned[[#This Row],[Dept Code]], Lookup_Departments!$A$2:$B$7, 2,FALSE)</f>
        <v>Operations</v>
      </c>
      <c r="E8" t="s">
        <v>15</v>
      </c>
      <c r="F8" s="2">
        <v>42221</v>
      </c>
      <c r="G8" t="str">
        <f ca="1">DATEDIF(Cleaned[[#This Row],[Hire Date]], TODAY(), "Y")&amp; "Years"</f>
        <v>10Years</v>
      </c>
      <c r="H8" s="4">
        <v>97055</v>
      </c>
      <c r="I8">
        <v>80</v>
      </c>
      <c r="J8" t="s">
        <v>21</v>
      </c>
      <c r="K8" t="str" cm="1">
        <f t="array" ref="K8">_xlfn.IFS(I8&lt;=49,"Needs Improvement", I8&lt;=69, "Developing", I8&lt;=84, "Achieving", I8&lt;=94, "Exceeding", I8&gt;94, "Outstanding")</f>
        <v>Achieving</v>
      </c>
      <c r="L8" cm="1">
        <f t="array" ref="L8">_xlfn.IFS(K8="Needs Improvement", 0, K8="Developing", 0.02, K8= "Achieving", 0.05, K8="Exceeding",0.8, K8="Outstanding", 0.12)</f>
        <v>0.05</v>
      </c>
      <c r="M8" s="4">
        <f>Cleaned[[#This Row],[Salary]]*Cleaned[[#This Row],[Bonus Percentage]]</f>
        <v>4852.75</v>
      </c>
      <c r="N8" s="8">
        <f>Cleaned[[#This Row],[Salary]]+Cleaned[[#This Row],[Bonus Payout]]</f>
        <v>101907.75</v>
      </c>
    </row>
    <row r="9" spans="2:23" x14ac:dyDescent="0.25">
      <c r="B9" t="s">
        <v>51</v>
      </c>
      <c r="C9" t="s">
        <v>240</v>
      </c>
      <c r="D9" t="str">
        <f>VLOOKUP(Cleaned[[#This Row],[Dept Code]], Lookup_Departments!$A$2:$B$7, 2,FALSE)</f>
        <v>Information Technology</v>
      </c>
      <c r="E9" t="s">
        <v>5</v>
      </c>
      <c r="F9" s="2">
        <v>42248</v>
      </c>
      <c r="G9" t="str">
        <f ca="1">DATEDIF(Cleaned[[#This Row],[Hire Date]], TODAY(), "Y")&amp; "Years"</f>
        <v>10Years</v>
      </c>
      <c r="H9" s="4">
        <v>102691</v>
      </c>
      <c r="I9">
        <v>52</v>
      </c>
      <c r="J9" t="s">
        <v>21</v>
      </c>
      <c r="K9" t="str" cm="1">
        <f t="array" ref="K9">_xlfn.IFS(I9&lt;=49,"Needs Improvement", I9&lt;=69, "Developing", I9&lt;=84, "Achieving", I9&lt;=94, "Exceeding", I9&gt;94, "Outstanding")</f>
        <v>Developing</v>
      </c>
      <c r="L9" cm="1">
        <f t="array" ref="L9">_xlfn.IFS(K9="Needs Improvement", 0, K9="Developing", 0.02, K9= "Achieving", 0.05, K9="Exceeding",0.8, K9="Outstanding", 0.12)</f>
        <v>0.02</v>
      </c>
      <c r="M9" s="4">
        <f>Cleaned[[#This Row],[Salary]]*Cleaned[[#This Row],[Bonus Percentage]]</f>
        <v>2053.8200000000002</v>
      </c>
      <c r="N9" s="8">
        <f>Cleaned[[#This Row],[Salary]]+Cleaned[[#This Row],[Bonus Payout]]</f>
        <v>104744.82</v>
      </c>
    </row>
    <row r="10" spans="2:23" x14ac:dyDescent="0.25">
      <c r="B10" t="s">
        <v>95</v>
      </c>
      <c r="C10" t="s">
        <v>271</v>
      </c>
      <c r="D10" t="str">
        <f>VLOOKUP(Cleaned[[#This Row],[Dept Code]], Lookup_Departments!$A$2:$B$7, 2,FALSE)</f>
        <v>Sales</v>
      </c>
      <c r="E10" t="s">
        <v>20</v>
      </c>
      <c r="F10" s="2">
        <v>42249</v>
      </c>
      <c r="G10" t="str">
        <f ca="1">DATEDIF(Cleaned[[#This Row],[Hire Date]], TODAY(), "Y")&amp; "Years"</f>
        <v>10Years</v>
      </c>
      <c r="H10" s="4">
        <v>72457</v>
      </c>
      <c r="I10">
        <v>67</v>
      </c>
      <c r="J10" t="s">
        <v>21</v>
      </c>
      <c r="K10" t="str" cm="1">
        <f t="array" ref="K10">_xlfn.IFS(I10&lt;=49,"Needs Improvement", I10&lt;=69, "Developing", I10&lt;=84, "Achieving", I10&lt;=94, "Exceeding", I10&gt;94, "Outstanding")</f>
        <v>Developing</v>
      </c>
      <c r="L10" cm="1">
        <f t="array" ref="L10">_xlfn.IFS(K10="Needs Improvement", 0, K10="Developing", 0.02, K10= "Achieving", 0.05, K10="Exceeding",0.8, K10="Outstanding", 0.12)</f>
        <v>0.02</v>
      </c>
      <c r="M10" s="4">
        <f>Cleaned[[#This Row],[Salary]]*Cleaned[[#This Row],[Bonus Percentage]]</f>
        <v>1449.14</v>
      </c>
      <c r="N10" s="8">
        <f>Cleaned[[#This Row],[Salary]]+Cleaned[[#This Row],[Bonus Payout]]</f>
        <v>73906.14</v>
      </c>
    </row>
    <row r="11" spans="2:23" x14ac:dyDescent="0.25">
      <c r="B11" t="s">
        <v>173</v>
      </c>
      <c r="C11" t="s">
        <v>310</v>
      </c>
      <c r="D11" t="str">
        <f>VLOOKUP(Cleaned[[#This Row],[Dept Code]], Lookup_Departments!$A$2:$B$7, 2,FALSE)</f>
        <v>Finance</v>
      </c>
      <c r="E11" t="s">
        <v>11</v>
      </c>
      <c r="F11" s="2">
        <v>42299</v>
      </c>
      <c r="G11" t="str">
        <f ca="1">DATEDIF(Cleaned[[#This Row],[Hire Date]], TODAY(), "Y")&amp; "Years"</f>
        <v>10Years</v>
      </c>
      <c r="H11" s="4">
        <v>72457</v>
      </c>
      <c r="I11">
        <v>62</v>
      </c>
      <c r="J11" t="s">
        <v>21</v>
      </c>
      <c r="K11" t="str" cm="1">
        <f t="array" ref="K11">_xlfn.IFS(I11&lt;=49,"Needs Improvement", I11&lt;=69, "Developing", I11&lt;=84, "Achieving", I11&lt;=94, "Exceeding", I11&gt;94, "Outstanding")</f>
        <v>Developing</v>
      </c>
      <c r="L11" cm="1">
        <f t="array" ref="L11">_xlfn.IFS(K11="Needs Improvement", 0, K11="Developing", 0.02, K11= "Achieving", 0.05, K11="Exceeding",0.8, K11="Outstanding", 0.12)</f>
        <v>0.02</v>
      </c>
      <c r="M11" s="4">
        <f>Cleaned[[#This Row],[Salary]]*Cleaned[[#This Row],[Bonus Percentage]]</f>
        <v>1449.14</v>
      </c>
      <c r="N11" s="8">
        <f>Cleaned[[#This Row],[Salary]]+Cleaned[[#This Row],[Bonus Payout]]</f>
        <v>73906.14</v>
      </c>
    </row>
    <row r="12" spans="2:23" x14ac:dyDescent="0.25">
      <c r="B12" t="s">
        <v>116</v>
      </c>
      <c r="C12" t="s">
        <v>282</v>
      </c>
      <c r="D12" t="str">
        <f>VLOOKUP(Cleaned[[#This Row],[Dept Code]], Lookup_Departments!$A$2:$B$7, 2,FALSE)</f>
        <v>Human Resources</v>
      </c>
      <c r="E12" t="s">
        <v>49</v>
      </c>
      <c r="F12" s="2">
        <v>42304</v>
      </c>
      <c r="G12" t="str">
        <f ca="1">DATEDIF(Cleaned[[#This Row],[Hire Date]], TODAY(), "Y")&amp; "Years"</f>
        <v>10Years</v>
      </c>
      <c r="H12" s="4">
        <v>56073</v>
      </c>
      <c r="I12">
        <v>79</v>
      </c>
      <c r="J12" t="s">
        <v>21</v>
      </c>
      <c r="K12" t="str" cm="1">
        <f t="array" ref="K12">_xlfn.IFS(I12&lt;=49,"Needs Improvement", I12&lt;=69, "Developing", I12&lt;=84, "Achieving", I12&lt;=94, "Exceeding", I12&gt;94, "Outstanding")</f>
        <v>Achieving</v>
      </c>
      <c r="L12" cm="1">
        <f t="array" ref="L12">_xlfn.IFS(K12="Needs Improvement", 0, K12="Developing", 0.02, K12= "Achieving", 0.05, K12="Exceeding",0.8, K12="Outstanding", 0.12)</f>
        <v>0.05</v>
      </c>
      <c r="M12" s="4">
        <f>Cleaned[[#This Row],[Salary]]*Cleaned[[#This Row],[Bonus Percentage]]</f>
        <v>2803.65</v>
      </c>
      <c r="N12" s="8">
        <f>Cleaned[[#This Row],[Salary]]+Cleaned[[#This Row],[Bonus Payout]]</f>
        <v>58876.65</v>
      </c>
    </row>
    <row r="13" spans="2:23" x14ac:dyDescent="0.25">
      <c r="B13" t="s">
        <v>102</v>
      </c>
      <c r="C13" t="s">
        <v>274</v>
      </c>
      <c r="D13" t="str">
        <f>VLOOKUP(Cleaned[[#This Row],[Dept Code]], Lookup_Departments!$A$2:$B$7, 2,FALSE)</f>
        <v>Operations</v>
      </c>
      <c r="E13" t="s">
        <v>15</v>
      </c>
      <c r="F13" s="2">
        <v>42330</v>
      </c>
      <c r="G13" t="str">
        <f ca="1">DATEDIF(Cleaned[[#This Row],[Hire Date]], TODAY(), "Y")&amp; "Years"</f>
        <v>10Years</v>
      </c>
      <c r="H13" s="4">
        <v>86480</v>
      </c>
      <c r="I13">
        <v>75</v>
      </c>
      <c r="J13" t="s">
        <v>21</v>
      </c>
      <c r="K13" t="str" cm="1">
        <f t="array" ref="K13">_xlfn.IFS(I13&lt;=49,"Needs Improvement", I13&lt;=69, "Developing", I13&lt;=84, "Achieving", I13&lt;=94, "Exceeding", I13&gt;94, "Outstanding")</f>
        <v>Achieving</v>
      </c>
      <c r="L13" cm="1">
        <f t="array" ref="L13">_xlfn.IFS(K13="Needs Improvement", 0, K13="Developing", 0.02, K13= "Achieving", 0.05, K13="Exceeding",0.8, K13="Outstanding", 0.12)</f>
        <v>0.05</v>
      </c>
      <c r="M13" s="4">
        <f>Cleaned[[#This Row],[Salary]]*Cleaned[[#This Row],[Bonus Percentage]]</f>
        <v>4324</v>
      </c>
      <c r="N13" s="8">
        <f>Cleaned[[#This Row],[Salary]]+Cleaned[[#This Row],[Bonus Payout]]</f>
        <v>90804</v>
      </c>
    </row>
    <row r="14" spans="2:23" x14ac:dyDescent="0.25">
      <c r="B14" t="s">
        <v>29</v>
      </c>
      <c r="C14" t="s">
        <v>224</v>
      </c>
      <c r="D14" t="str">
        <f>VLOOKUP(Cleaned[[#This Row],[Dept Code]], Lookup_Departments!$A$2:$B$7, 2,FALSE)</f>
        <v>Information Technology</v>
      </c>
      <c r="E14" t="s">
        <v>5</v>
      </c>
      <c r="F14" s="2">
        <v>42337</v>
      </c>
      <c r="G14" t="str">
        <f ca="1">DATEDIF(Cleaned[[#This Row],[Hire Date]], TODAY(), "Y")&amp; "Years"</f>
        <v>10Years</v>
      </c>
      <c r="H14" s="4">
        <v>105765</v>
      </c>
      <c r="I14">
        <v>42</v>
      </c>
      <c r="J14" t="s">
        <v>21</v>
      </c>
      <c r="K14" t="str" cm="1">
        <f t="array" ref="K14">_xlfn.IFS(I14&lt;=49,"Needs Improvement", I14&lt;=69, "Developing", I14&lt;=84, "Achieving", I14&lt;=94, "Exceeding", I14&gt;94, "Outstanding")</f>
        <v>Needs Improvement</v>
      </c>
      <c r="L14" cm="1">
        <f t="array" ref="L14">_xlfn.IFS(K14="Needs Improvement", 0, K14="Developing", 0.02, K14= "Achieving", 0.05, K14="Exceeding",0.8, K14="Outstanding", 0.12)</f>
        <v>0</v>
      </c>
      <c r="M14" s="4">
        <f>Cleaned[[#This Row],[Salary]]*Cleaned[[#This Row],[Bonus Percentage]]</f>
        <v>0</v>
      </c>
      <c r="N14" s="8">
        <f>Cleaned[[#This Row],[Salary]]+Cleaned[[#This Row],[Bonus Payout]]</f>
        <v>105765</v>
      </c>
    </row>
    <row r="15" spans="2:23" x14ac:dyDescent="0.25">
      <c r="B15" t="s">
        <v>24</v>
      </c>
      <c r="C15" t="s">
        <v>219</v>
      </c>
      <c r="D15" t="str">
        <f>VLOOKUP(Cleaned[[#This Row],[Dept Code]], Lookup_Departments!$A$2:$B$7, 2,FALSE)</f>
        <v>Information Technology</v>
      </c>
      <c r="E15" t="s">
        <v>5</v>
      </c>
      <c r="F15" s="2">
        <v>42425</v>
      </c>
      <c r="G15" t="str">
        <f ca="1">DATEDIF(Cleaned[[#This Row],[Hire Date]], TODAY(), "Y")&amp; "Years"</f>
        <v>10Years</v>
      </c>
      <c r="H15" s="4">
        <v>76918</v>
      </c>
      <c r="I15">
        <v>62</v>
      </c>
      <c r="J15" t="s">
        <v>21</v>
      </c>
      <c r="K15" t="str" cm="1">
        <f t="array" ref="K15">_xlfn.IFS(I15&lt;=49,"Needs Improvement", I15&lt;=69, "Developing", I15&lt;=84, "Achieving", I15&lt;=94, "Exceeding", I15&gt;94, "Outstanding")</f>
        <v>Developing</v>
      </c>
      <c r="L15" cm="1">
        <f t="array" ref="L15">_xlfn.IFS(K15="Needs Improvement", 0, K15="Developing", 0.02, K15= "Achieving", 0.05, K15="Exceeding",0.8, K15="Outstanding", 0.12)</f>
        <v>0.02</v>
      </c>
      <c r="M15" s="4">
        <f>Cleaned[[#This Row],[Salary]]*Cleaned[[#This Row],[Bonus Percentage]]</f>
        <v>1538.3600000000001</v>
      </c>
      <c r="N15" s="8">
        <f>Cleaned[[#This Row],[Salary]]+Cleaned[[#This Row],[Bonus Payout]]</f>
        <v>78456.36</v>
      </c>
    </row>
    <row r="16" spans="2:23" x14ac:dyDescent="0.25">
      <c r="B16" t="s">
        <v>8</v>
      </c>
      <c r="C16" t="s">
        <v>210</v>
      </c>
      <c r="D16" t="str">
        <f>VLOOKUP(Cleaned[[#This Row],[Dept Code]], Lookup_Departments!$A$2:$B$7, 2,FALSE)</f>
        <v>Information Technology</v>
      </c>
      <c r="E16" t="s">
        <v>5</v>
      </c>
      <c r="F16" s="2">
        <v>42431</v>
      </c>
      <c r="G16" t="str">
        <f ca="1">DATEDIF(Cleaned[[#This Row],[Hire Date]], TODAY(), "Y")&amp; "Years"</f>
        <v>10Years</v>
      </c>
      <c r="H16" s="4">
        <v>114425</v>
      </c>
      <c r="I16">
        <v>54</v>
      </c>
      <c r="J16" t="s">
        <v>13</v>
      </c>
      <c r="K16" t="str" cm="1">
        <f t="array" ref="K16">_xlfn.IFS(I16&lt;=49,"Needs Improvement", I16&lt;=69, "Developing", I16&lt;=84, "Achieving", I16&lt;=94, "Exceeding", I16&gt;94, "Outstanding")</f>
        <v>Developing</v>
      </c>
      <c r="L16" cm="1">
        <f t="array" ref="L16">_xlfn.IFS(K16="Needs Improvement", 0, K16="Developing", 0.02, K16= "Achieving", 0.05, K16="Exceeding",0.8, K16="Outstanding", 0.12)</f>
        <v>0.02</v>
      </c>
      <c r="M16" s="4">
        <f>Cleaned[[#This Row],[Salary]]*Cleaned[[#This Row],[Bonus Percentage]]</f>
        <v>2288.5</v>
      </c>
      <c r="N16" s="8">
        <f>Cleaned[[#This Row],[Salary]]+Cleaned[[#This Row],[Bonus Payout]]</f>
        <v>116713.5</v>
      </c>
    </row>
    <row r="17" spans="2:14" x14ac:dyDescent="0.25">
      <c r="B17" t="s">
        <v>160</v>
      </c>
      <c r="C17" t="s">
        <v>254</v>
      </c>
      <c r="D17" t="str">
        <f>VLOOKUP(Cleaned[[#This Row],[Dept Code]], Lookup_Departments!$A$2:$B$7, 2,FALSE)</f>
        <v>Finance</v>
      </c>
      <c r="E17" t="s">
        <v>11</v>
      </c>
      <c r="F17" s="2">
        <v>42433</v>
      </c>
      <c r="G17" t="str">
        <f ca="1">DATEDIF(Cleaned[[#This Row],[Hire Date]], TODAY(), "Y")&amp; "Years"</f>
        <v>10Years</v>
      </c>
      <c r="H17" s="4">
        <v>46390</v>
      </c>
      <c r="I17">
        <v>95</v>
      </c>
      <c r="J17" t="s">
        <v>21</v>
      </c>
      <c r="K17" t="str" cm="1">
        <f t="array" ref="K17">_xlfn.IFS(I17&lt;=49,"Needs Improvement", I17&lt;=69, "Developing", I17&lt;=84, "Achieving", I17&lt;=94, "Exceeding", I17&gt;94, "Outstanding")</f>
        <v>Outstanding</v>
      </c>
      <c r="L17" cm="1">
        <f t="array" ref="L17">_xlfn.IFS(K17="Needs Improvement", 0, K17="Developing", 0.02, K17= "Achieving", 0.05, K17="Exceeding",0.8, K17="Outstanding", 0.12)</f>
        <v>0.12</v>
      </c>
      <c r="M17" s="4">
        <f>Cleaned[[#This Row],[Salary]]*Cleaned[[#This Row],[Bonus Percentage]]</f>
        <v>5566.8</v>
      </c>
      <c r="N17" s="8">
        <f>Cleaned[[#This Row],[Salary]]+Cleaned[[#This Row],[Bonus Payout]]</f>
        <v>51956.800000000003</v>
      </c>
    </row>
    <row r="18" spans="2:14" x14ac:dyDescent="0.25">
      <c r="B18" t="s">
        <v>132</v>
      </c>
      <c r="C18" t="s">
        <v>213</v>
      </c>
      <c r="D18" t="str">
        <f>VLOOKUP(Cleaned[[#This Row],[Dept Code]], Lookup_Departments!$A$2:$B$7, 2,FALSE)</f>
        <v>Operations</v>
      </c>
      <c r="E18" t="s">
        <v>15</v>
      </c>
      <c r="F18" s="2">
        <v>42512</v>
      </c>
      <c r="G18" t="str">
        <f ca="1">DATEDIF(Cleaned[[#This Row],[Hire Date]], TODAY(), "Y")&amp; "Years"</f>
        <v>10Years</v>
      </c>
      <c r="H18" s="4">
        <v>81167</v>
      </c>
      <c r="I18">
        <v>40</v>
      </c>
      <c r="J18" t="s">
        <v>21</v>
      </c>
      <c r="K18" t="str" cm="1">
        <f t="array" ref="K18">_xlfn.IFS(I18&lt;=49,"Needs Improvement", I18&lt;=69, "Developing", I18&lt;=84, "Achieving", I18&lt;=94, "Exceeding", I18&gt;94, "Outstanding")</f>
        <v>Needs Improvement</v>
      </c>
      <c r="L18" cm="1">
        <f t="array" ref="L18">_xlfn.IFS(K18="Needs Improvement", 0, K18="Developing", 0.02, K18= "Achieving", 0.05, K18="Exceeding",0.8, K18="Outstanding", 0.12)</f>
        <v>0</v>
      </c>
      <c r="M18" s="4">
        <f>Cleaned[[#This Row],[Salary]]*Cleaned[[#This Row],[Bonus Percentage]]</f>
        <v>0</v>
      </c>
      <c r="N18" s="8">
        <f>Cleaned[[#This Row],[Salary]]+Cleaned[[#This Row],[Bonus Payout]]</f>
        <v>81167</v>
      </c>
    </row>
    <row r="19" spans="2:14" x14ac:dyDescent="0.25">
      <c r="B19" t="s">
        <v>183</v>
      </c>
      <c r="C19" t="s">
        <v>315</v>
      </c>
      <c r="D19" t="str">
        <f>VLOOKUP(Cleaned[[#This Row],[Dept Code]], Lookup_Departments!$A$2:$B$7, 2,FALSE)</f>
        <v>Sales</v>
      </c>
      <c r="E19" t="s">
        <v>20</v>
      </c>
      <c r="F19" s="2">
        <v>42519</v>
      </c>
      <c r="G19" t="str">
        <f ca="1">DATEDIF(Cleaned[[#This Row],[Hire Date]], TODAY(), "Y")&amp; "Years"</f>
        <v>10Years</v>
      </c>
      <c r="H19" s="4">
        <v>62798</v>
      </c>
      <c r="I19">
        <v>30</v>
      </c>
      <c r="J19" t="s">
        <v>21</v>
      </c>
      <c r="K19" t="str" cm="1">
        <f t="array" ref="K19">_xlfn.IFS(I19&lt;=49,"Needs Improvement", I19&lt;=69, "Developing", I19&lt;=84, "Achieving", I19&lt;=94, "Exceeding", I19&gt;94, "Outstanding")</f>
        <v>Needs Improvement</v>
      </c>
      <c r="L19" cm="1">
        <f t="array" ref="L19">_xlfn.IFS(K19="Needs Improvement", 0, K19="Developing", 0.02, K19= "Achieving", 0.05, K19="Exceeding",0.8, K19="Outstanding", 0.12)</f>
        <v>0</v>
      </c>
      <c r="M19" s="4">
        <f>Cleaned[[#This Row],[Salary]]*Cleaned[[#This Row],[Bonus Percentage]]</f>
        <v>0</v>
      </c>
      <c r="N19" s="8">
        <f>Cleaned[[#This Row],[Salary]]+Cleaned[[#This Row],[Bonus Payout]]</f>
        <v>62798</v>
      </c>
    </row>
    <row r="20" spans="2:14" x14ac:dyDescent="0.25">
      <c r="B20" t="s">
        <v>145</v>
      </c>
      <c r="C20" t="s">
        <v>283</v>
      </c>
      <c r="D20" t="str">
        <f>VLOOKUP(Cleaned[[#This Row],[Dept Code]], Lookup_Departments!$A$2:$B$7, 2,FALSE)</f>
        <v>Information Technology</v>
      </c>
      <c r="E20" t="s">
        <v>5</v>
      </c>
      <c r="F20" s="2">
        <v>42561</v>
      </c>
      <c r="G20" t="str">
        <f ca="1">DATEDIF(Cleaned[[#This Row],[Hire Date]], TODAY(), "Y")&amp; "Years"</f>
        <v>9Years</v>
      </c>
      <c r="H20" s="4">
        <v>74370</v>
      </c>
      <c r="I20">
        <v>82</v>
      </c>
      <c r="J20" t="s">
        <v>21</v>
      </c>
      <c r="K20" t="str" cm="1">
        <f t="array" ref="K20">_xlfn.IFS(I20&lt;=49,"Needs Improvement", I20&lt;=69, "Developing", I20&lt;=84, "Achieving", I20&lt;=94, "Exceeding", I20&gt;94, "Outstanding")</f>
        <v>Achieving</v>
      </c>
      <c r="L20" cm="1">
        <f t="array" ref="L20">_xlfn.IFS(K20="Needs Improvement", 0, K20="Developing", 0.02, K20= "Achieving", 0.05, K20="Exceeding",0.8, K20="Outstanding", 0.12)</f>
        <v>0.05</v>
      </c>
      <c r="M20" s="4">
        <f>Cleaned[[#This Row],[Salary]]*Cleaned[[#This Row],[Bonus Percentage]]</f>
        <v>3718.5</v>
      </c>
      <c r="N20" s="8">
        <f>Cleaned[[#This Row],[Salary]]+Cleaned[[#This Row],[Bonus Payout]]</f>
        <v>78088.5</v>
      </c>
    </row>
    <row r="21" spans="2:14" x14ac:dyDescent="0.25">
      <c r="B21" t="s">
        <v>36</v>
      </c>
      <c r="C21" t="s">
        <v>230</v>
      </c>
      <c r="D21" t="str">
        <f>VLOOKUP(Cleaned[[#This Row],[Dept Code]], Lookup_Departments!$A$2:$B$7, 2,FALSE)</f>
        <v>Finance</v>
      </c>
      <c r="E21" t="s">
        <v>11</v>
      </c>
      <c r="F21" s="2">
        <v>42565</v>
      </c>
      <c r="G21" t="str">
        <f ca="1">DATEDIF(Cleaned[[#This Row],[Hire Date]], TODAY(), "Y")&amp; "Years"</f>
        <v>9Years</v>
      </c>
      <c r="H21" s="4">
        <v>100851</v>
      </c>
      <c r="I21">
        <v>64</v>
      </c>
      <c r="J21" t="s">
        <v>21</v>
      </c>
      <c r="K21" t="str" cm="1">
        <f t="array" ref="K21">_xlfn.IFS(I21&lt;=49,"Needs Improvement", I21&lt;=69, "Developing", I21&lt;=84, "Achieving", I21&lt;=94, "Exceeding", I21&gt;94, "Outstanding")</f>
        <v>Developing</v>
      </c>
      <c r="L21" cm="1">
        <f t="array" ref="L21">_xlfn.IFS(K21="Needs Improvement", 0, K21="Developing", 0.02, K21= "Achieving", 0.05, K21="Exceeding",0.8, K21="Outstanding", 0.12)</f>
        <v>0.02</v>
      </c>
      <c r="M21" s="4">
        <f>Cleaned[[#This Row],[Salary]]*Cleaned[[#This Row],[Bonus Percentage]]</f>
        <v>2017.02</v>
      </c>
      <c r="N21" s="8">
        <f>Cleaned[[#This Row],[Salary]]+Cleaned[[#This Row],[Bonus Payout]]</f>
        <v>102868.02</v>
      </c>
    </row>
    <row r="22" spans="2:14" x14ac:dyDescent="0.25">
      <c r="B22" t="s">
        <v>62</v>
      </c>
      <c r="C22" t="s">
        <v>248</v>
      </c>
      <c r="D22" t="str">
        <f>VLOOKUP(Cleaned[[#This Row],[Dept Code]], Lookup_Departments!$A$2:$B$7, 2,FALSE)</f>
        <v>Sales</v>
      </c>
      <c r="E22" t="s">
        <v>20</v>
      </c>
      <c r="F22" s="2">
        <v>42565</v>
      </c>
      <c r="G22" t="str">
        <f ca="1">DATEDIF(Cleaned[[#This Row],[Hire Date]], TODAY(), "Y")&amp; "Years"</f>
        <v>9Years</v>
      </c>
      <c r="H22" s="4">
        <v>78402</v>
      </c>
      <c r="I22">
        <v>54</v>
      </c>
      <c r="J22" t="s">
        <v>21</v>
      </c>
      <c r="K22" t="str" cm="1">
        <f t="array" ref="K22">_xlfn.IFS(I22&lt;=49,"Needs Improvement", I22&lt;=69, "Developing", I22&lt;=84, "Achieving", I22&lt;=94, "Exceeding", I22&gt;94, "Outstanding")</f>
        <v>Developing</v>
      </c>
      <c r="L22" cm="1">
        <f t="array" ref="L22">_xlfn.IFS(K22="Needs Improvement", 0, K22="Developing", 0.02, K22= "Achieving", 0.05, K22="Exceeding",0.8, K22="Outstanding", 0.12)</f>
        <v>0.02</v>
      </c>
      <c r="M22" s="4">
        <f>Cleaned[[#This Row],[Salary]]*Cleaned[[#This Row],[Bonus Percentage]]</f>
        <v>1568.04</v>
      </c>
      <c r="N22" s="8">
        <f>Cleaned[[#This Row],[Salary]]+Cleaned[[#This Row],[Bonus Payout]]</f>
        <v>79970.039999999994</v>
      </c>
    </row>
    <row r="23" spans="2:14" x14ac:dyDescent="0.25">
      <c r="B23" t="s">
        <v>32</v>
      </c>
      <c r="C23" t="s">
        <v>227</v>
      </c>
      <c r="D23" t="str">
        <f>VLOOKUP(Cleaned[[#This Row],[Dept Code]], Lookup_Departments!$A$2:$B$7, 2,FALSE)</f>
        <v>Information Technology</v>
      </c>
      <c r="E23" t="s">
        <v>5</v>
      </c>
      <c r="F23" s="2">
        <v>42575</v>
      </c>
      <c r="G23" t="str">
        <f ca="1">DATEDIF(Cleaned[[#This Row],[Hire Date]], TODAY(), "Y")&amp; "Years"</f>
        <v>9Years</v>
      </c>
      <c r="H23" s="4">
        <v>72457</v>
      </c>
      <c r="I23">
        <v>75</v>
      </c>
      <c r="J23" t="s">
        <v>21</v>
      </c>
      <c r="K23" t="str" cm="1">
        <f t="array" ref="K23">_xlfn.IFS(I23&lt;=49,"Needs Improvement", I23&lt;=69, "Developing", I23&lt;=84, "Achieving", I23&lt;=94, "Exceeding", I23&gt;94, "Outstanding")</f>
        <v>Achieving</v>
      </c>
      <c r="L23" cm="1">
        <f t="array" ref="L23">_xlfn.IFS(K23="Needs Improvement", 0, K23="Developing", 0.02, K23= "Achieving", 0.05, K23="Exceeding",0.8, K23="Outstanding", 0.12)</f>
        <v>0.05</v>
      </c>
      <c r="M23" s="4">
        <f>Cleaned[[#This Row],[Salary]]*Cleaned[[#This Row],[Bonus Percentage]]</f>
        <v>3622.8500000000004</v>
      </c>
      <c r="N23" s="8">
        <f>Cleaned[[#This Row],[Salary]]+Cleaned[[#This Row],[Bonus Payout]]</f>
        <v>76079.850000000006</v>
      </c>
    </row>
    <row r="24" spans="2:14" x14ac:dyDescent="0.25">
      <c r="B24" t="s">
        <v>139</v>
      </c>
      <c r="C24" t="s">
        <v>215</v>
      </c>
      <c r="D24" t="str">
        <f>VLOOKUP(Cleaned[[#This Row],[Dept Code]], Lookup_Departments!$A$2:$B$7, 2,FALSE)</f>
        <v>Sales</v>
      </c>
      <c r="E24" t="s">
        <v>20</v>
      </c>
      <c r="F24" s="2">
        <v>42625</v>
      </c>
      <c r="G24" t="str">
        <f ca="1">DATEDIF(Cleaned[[#This Row],[Hire Date]], TODAY(), "Y")&amp; "Years"</f>
        <v>9Years</v>
      </c>
      <c r="H24" s="4">
        <v>114681</v>
      </c>
      <c r="I24">
        <v>36</v>
      </c>
      <c r="J24" t="s">
        <v>21</v>
      </c>
      <c r="K24" t="str" cm="1">
        <f t="array" ref="K24">_xlfn.IFS(I24&lt;=49,"Needs Improvement", I24&lt;=69, "Developing", I24&lt;=84, "Achieving", I24&lt;=94, "Exceeding", I24&gt;94, "Outstanding")</f>
        <v>Needs Improvement</v>
      </c>
      <c r="L24" cm="1">
        <f t="array" ref="L24">_xlfn.IFS(K24="Needs Improvement", 0, K24="Developing", 0.02, K24= "Achieving", 0.05, K24="Exceeding",0.8, K24="Outstanding", 0.12)</f>
        <v>0</v>
      </c>
      <c r="M24" s="4">
        <f>Cleaned[[#This Row],[Salary]]*Cleaned[[#This Row],[Bonus Percentage]]</f>
        <v>0</v>
      </c>
      <c r="N24" s="8">
        <f>Cleaned[[#This Row],[Salary]]+Cleaned[[#This Row],[Bonus Payout]]</f>
        <v>114681</v>
      </c>
    </row>
    <row r="25" spans="2:14" x14ac:dyDescent="0.25">
      <c r="B25" t="s">
        <v>70</v>
      </c>
      <c r="C25" t="s">
        <v>255</v>
      </c>
      <c r="D25" t="str">
        <f>VLOOKUP(Cleaned[[#This Row],[Dept Code]], Lookup_Departments!$A$2:$B$7, 2,FALSE)</f>
        <v>Operations</v>
      </c>
      <c r="E25" t="s">
        <v>15</v>
      </c>
      <c r="F25" s="2">
        <v>42628</v>
      </c>
      <c r="G25" t="str">
        <f ca="1">DATEDIF(Cleaned[[#This Row],[Hire Date]], TODAY(), "Y")&amp; "Years"</f>
        <v>9Years</v>
      </c>
      <c r="H25" s="4">
        <v>115527</v>
      </c>
      <c r="I25">
        <v>63</v>
      </c>
      <c r="J25" t="s">
        <v>60</v>
      </c>
      <c r="K25" t="str" cm="1">
        <f t="array" ref="K25">_xlfn.IFS(I25&lt;=49,"Needs Improvement", I25&lt;=69, "Developing", I25&lt;=84, "Achieving", I25&lt;=94, "Exceeding", I25&gt;94, "Outstanding")</f>
        <v>Developing</v>
      </c>
      <c r="L25" cm="1">
        <f t="array" ref="L25">_xlfn.IFS(K25="Needs Improvement", 0, K25="Developing", 0.02, K25= "Achieving", 0.05, K25="Exceeding",0.8, K25="Outstanding", 0.12)</f>
        <v>0.02</v>
      </c>
      <c r="M25" s="4">
        <f>Cleaned[[#This Row],[Salary]]*Cleaned[[#This Row],[Bonus Percentage]]</f>
        <v>2310.54</v>
      </c>
      <c r="N25" s="8">
        <f>Cleaned[[#This Row],[Salary]]+Cleaned[[#This Row],[Bonus Payout]]</f>
        <v>117837.54</v>
      </c>
    </row>
    <row r="26" spans="2:14" x14ac:dyDescent="0.25">
      <c r="B26" t="s">
        <v>63</v>
      </c>
      <c r="C26" t="s">
        <v>249</v>
      </c>
      <c r="D26" t="str">
        <f>VLOOKUP(Cleaned[[#This Row],[Dept Code]], Lookup_Departments!$A$2:$B$7, 2,FALSE)</f>
        <v>Operations</v>
      </c>
      <c r="E26" t="s">
        <v>15</v>
      </c>
      <c r="F26" s="2">
        <v>42647</v>
      </c>
      <c r="G26" t="str">
        <f ca="1">DATEDIF(Cleaned[[#This Row],[Hire Date]], TODAY(), "Y")&amp; "Years"</f>
        <v>9Years</v>
      </c>
      <c r="H26" s="4">
        <v>105498</v>
      </c>
      <c r="I26">
        <v>76</v>
      </c>
      <c r="J26" t="s">
        <v>21</v>
      </c>
      <c r="K26" t="str" cm="1">
        <f t="array" ref="K26">_xlfn.IFS(I26&lt;=49,"Needs Improvement", I26&lt;=69, "Developing", I26&lt;=84, "Achieving", I26&lt;=94, "Exceeding", I26&gt;94, "Outstanding")</f>
        <v>Achieving</v>
      </c>
      <c r="L26" cm="1">
        <f t="array" ref="L26">_xlfn.IFS(K26="Needs Improvement", 0, K26="Developing", 0.02, K26= "Achieving", 0.05, K26="Exceeding",0.8, K26="Outstanding", 0.12)</f>
        <v>0.05</v>
      </c>
      <c r="M26" s="4">
        <f>Cleaned[[#This Row],[Salary]]*Cleaned[[#This Row],[Bonus Percentage]]</f>
        <v>5274.9000000000005</v>
      </c>
      <c r="N26" s="8">
        <f>Cleaned[[#This Row],[Salary]]+Cleaned[[#This Row],[Bonus Payout]]</f>
        <v>110772.9</v>
      </c>
    </row>
    <row r="27" spans="2:14" x14ac:dyDescent="0.25">
      <c r="B27" t="s">
        <v>96</v>
      </c>
      <c r="C27" t="s">
        <v>272</v>
      </c>
      <c r="D27" t="str">
        <f>VLOOKUP(Cleaned[[#This Row],[Dept Code]], Lookup_Departments!$A$2:$B$7, 2,FALSE)</f>
        <v>Operations</v>
      </c>
      <c r="E27" t="s">
        <v>15</v>
      </c>
      <c r="F27" s="2">
        <v>42654</v>
      </c>
      <c r="G27" t="str">
        <f ca="1">DATEDIF(Cleaned[[#This Row],[Hire Date]], TODAY(), "Y")&amp; "Years"</f>
        <v>9Years</v>
      </c>
      <c r="H27" s="4">
        <v>48823</v>
      </c>
      <c r="I27">
        <v>34</v>
      </c>
      <c r="J27" t="s">
        <v>21</v>
      </c>
      <c r="K27" t="str" cm="1">
        <f t="array" ref="K27">_xlfn.IFS(I27&lt;=49,"Needs Improvement", I27&lt;=69, "Developing", I27&lt;=84, "Achieving", I27&lt;=94, "Exceeding", I27&gt;94, "Outstanding")</f>
        <v>Needs Improvement</v>
      </c>
      <c r="L27" cm="1">
        <f t="array" ref="L27">_xlfn.IFS(K27="Needs Improvement", 0, K27="Developing", 0.02, K27= "Achieving", 0.05, K27="Exceeding",0.8, K27="Outstanding", 0.12)</f>
        <v>0</v>
      </c>
      <c r="M27" s="4">
        <f>Cleaned[[#This Row],[Salary]]*Cleaned[[#This Row],[Bonus Percentage]]</f>
        <v>0</v>
      </c>
      <c r="N27" s="8">
        <f>Cleaned[[#This Row],[Salary]]+Cleaned[[#This Row],[Bonus Payout]]</f>
        <v>48823</v>
      </c>
    </row>
    <row r="28" spans="2:14" x14ac:dyDescent="0.25">
      <c r="B28" t="s">
        <v>19</v>
      </c>
      <c r="C28" t="s">
        <v>217</v>
      </c>
      <c r="D28" t="str">
        <f>VLOOKUP(Cleaned[[#This Row],[Dept Code]], Lookup_Departments!$A$2:$B$7, 2,FALSE)</f>
        <v>Sales</v>
      </c>
      <c r="E28" t="s">
        <v>20</v>
      </c>
      <c r="F28" s="2">
        <v>42676</v>
      </c>
      <c r="G28" t="str">
        <f ca="1">DATEDIF(Cleaned[[#This Row],[Hire Date]], TODAY(), "Y")&amp; "Years"</f>
        <v>9Years</v>
      </c>
      <c r="H28" s="4">
        <v>94998</v>
      </c>
      <c r="I28">
        <v>58</v>
      </c>
      <c r="J28" t="s">
        <v>21</v>
      </c>
      <c r="K28" t="str" cm="1">
        <f t="array" ref="K28">_xlfn.IFS(I28&lt;=49,"Needs Improvement", I28&lt;=69, "Developing", I28&lt;=84, "Achieving", I28&lt;=94, "Exceeding", I28&gt;94, "Outstanding")</f>
        <v>Developing</v>
      </c>
      <c r="L28" cm="1">
        <f t="array" ref="L28">_xlfn.IFS(K28="Needs Improvement", 0, K28="Developing", 0.02, K28= "Achieving", 0.05, K28="Exceeding",0.8, K28="Outstanding", 0.12)</f>
        <v>0.02</v>
      </c>
      <c r="M28" s="4">
        <f>Cleaned[[#This Row],[Salary]]*Cleaned[[#This Row],[Bonus Percentage]]</f>
        <v>1899.96</v>
      </c>
      <c r="N28" s="8">
        <f>Cleaned[[#This Row],[Salary]]+Cleaned[[#This Row],[Bonus Payout]]</f>
        <v>96897.96</v>
      </c>
    </row>
    <row r="29" spans="2:14" x14ac:dyDescent="0.25">
      <c r="B29" t="s">
        <v>185</v>
      </c>
      <c r="C29" t="s">
        <v>297</v>
      </c>
      <c r="D29" t="str">
        <f>VLOOKUP(Cleaned[[#This Row],[Dept Code]], Lookup_Departments!$A$2:$B$7, 2,FALSE)</f>
        <v>Marketing</v>
      </c>
      <c r="E29" t="s">
        <v>7</v>
      </c>
      <c r="F29" s="2">
        <v>42677</v>
      </c>
      <c r="G29" t="str">
        <f ca="1">DATEDIF(Cleaned[[#This Row],[Hire Date]], TODAY(), "Y")&amp; "Years"</f>
        <v>9Years</v>
      </c>
      <c r="H29" s="4">
        <v>93094</v>
      </c>
      <c r="I29">
        <v>74</v>
      </c>
      <c r="J29" t="s">
        <v>21</v>
      </c>
      <c r="K29" t="str" cm="1">
        <f t="array" ref="K29">_xlfn.IFS(I29&lt;=49,"Needs Improvement", I29&lt;=69, "Developing", I29&lt;=84, "Achieving", I29&lt;=94, "Exceeding", I29&gt;94, "Outstanding")</f>
        <v>Achieving</v>
      </c>
      <c r="L29" cm="1">
        <f t="array" ref="L29">_xlfn.IFS(K29="Needs Improvement", 0, K29="Developing", 0.02, K29= "Achieving", 0.05, K29="Exceeding",0.8, K29="Outstanding", 0.12)</f>
        <v>0.05</v>
      </c>
      <c r="M29" s="4">
        <f>Cleaned[[#This Row],[Salary]]*Cleaned[[#This Row],[Bonus Percentage]]</f>
        <v>4654.7</v>
      </c>
      <c r="N29" s="8">
        <f>Cleaned[[#This Row],[Salary]]+Cleaned[[#This Row],[Bonus Payout]]</f>
        <v>97748.7</v>
      </c>
    </row>
    <row r="30" spans="2:14" x14ac:dyDescent="0.25">
      <c r="B30" t="s">
        <v>85</v>
      </c>
      <c r="C30" t="s">
        <v>264</v>
      </c>
      <c r="D30" t="str">
        <f>VLOOKUP(Cleaned[[#This Row],[Dept Code]], Lookup_Departments!$A$2:$B$7, 2,FALSE)</f>
        <v>Marketing</v>
      </c>
      <c r="E30" t="s">
        <v>7</v>
      </c>
      <c r="F30" s="2">
        <v>42685</v>
      </c>
      <c r="G30" t="str">
        <f ca="1">DATEDIF(Cleaned[[#This Row],[Hire Date]], TODAY(), "Y")&amp; "Years"</f>
        <v>9Years</v>
      </c>
      <c r="H30" s="4">
        <v>50936</v>
      </c>
      <c r="I30">
        <v>99</v>
      </c>
      <c r="J30" t="s">
        <v>21</v>
      </c>
      <c r="K30" t="str" cm="1">
        <f t="array" ref="K30">_xlfn.IFS(I30&lt;=49,"Needs Improvement", I30&lt;=69, "Developing", I30&lt;=84, "Achieving", I30&lt;=94, "Exceeding", I30&gt;94, "Outstanding")</f>
        <v>Outstanding</v>
      </c>
      <c r="L30" cm="1">
        <f t="array" ref="L30">_xlfn.IFS(K30="Needs Improvement", 0, K30="Developing", 0.02, K30= "Achieving", 0.05, K30="Exceeding",0.8, K30="Outstanding", 0.12)</f>
        <v>0.12</v>
      </c>
      <c r="M30" s="4">
        <f>Cleaned[[#This Row],[Salary]]*Cleaned[[#This Row],[Bonus Percentage]]</f>
        <v>6112.32</v>
      </c>
      <c r="N30" s="8">
        <f>Cleaned[[#This Row],[Salary]]+Cleaned[[#This Row],[Bonus Payout]]</f>
        <v>57048.32</v>
      </c>
    </row>
    <row r="31" spans="2:14" x14ac:dyDescent="0.25">
      <c r="B31" t="s">
        <v>135</v>
      </c>
      <c r="C31" t="s">
        <v>293</v>
      </c>
      <c r="D31" t="str">
        <f>VLOOKUP(Cleaned[[#This Row],[Dept Code]], Lookup_Departments!$A$2:$B$7, 2,FALSE)</f>
        <v>Human Resources</v>
      </c>
      <c r="E31" t="s">
        <v>49</v>
      </c>
      <c r="F31" s="2">
        <v>42687</v>
      </c>
      <c r="G31" t="str">
        <f ca="1">DATEDIF(Cleaned[[#This Row],[Hire Date]], TODAY(), "Y")&amp; "Years"</f>
        <v>9Years</v>
      </c>
      <c r="H31" s="4">
        <v>77737</v>
      </c>
      <c r="I31">
        <v>77</v>
      </c>
      <c r="J31" t="s">
        <v>21</v>
      </c>
      <c r="K31" t="str" cm="1">
        <f t="array" ref="K31">_xlfn.IFS(I31&lt;=49,"Needs Improvement", I31&lt;=69, "Developing", I31&lt;=84, "Achieving", I31&lt;=94, "Exceeding", I31&gt;94, "Outstanding")</f>
        <v>Achieving</v>
      </c>
      <c r="L31" cm="1">
        <f t="array" ref="L31">_xlfn.IFS(K31="Needs Improvement", 0, K31="Developing", 0.02, K31= "Achieving", 0.05, K31="Exceeding",0.8, K31="Outstanding", 0.12)</f>
        <v>0.05</v>
      </c>
      <c r="M31" s="4">
        <f>Cleaned[[#This Row],[Salary]]*Cleaned[[#This Row],[Bonus Percentage]]</f>
        <v>3886.8500000000004</v>
      </c>
      <c r="N31" s="8">
        <f>Cleaned[[#This Row],[Salary]]+Cleaned[[#This Row],[Bonus Payout]]</f>
        <v>81623.850000000006</v>
      </c>
    </row>
    <row r="32" spans="2:14" x14ac:dyDescent="0.25">
      <c r="B32" t="s">
        <v>66</v>
      </c>
      <c r="C32" t="s">
        <v>252</v>
      </c>
      <c r="D32" t="str">
        <f>VLOOKUP(Cleaned[[#This Row],[Dept Code]], Lookup_Departments!$A$2:$B$7, 2,FALSE)</f>
        <v>Information Technology</v>
      </c>
      <c r="E32" t="s">
        <v>5</v>
      </c>
      <c r="F32" s="2">
        <v>42761</v>
      </c>
      <c r="G32" t="str">
        <f ca="1">DATEDIF(Cleaned[[#This Row],[Hire Date]], TODAY(), "Y")&amp; "Years"</f>
        <v>9Years</v>
      </c>
      <c r="H32" s="4">
        <v>83531</v>
      </c>
      <c r="I32">
        <v>30</v>
      </c>
      <c r="J32" t="s">
        <v>13</v>
      </c>
      <c r="K32" t="str" cm="1">
        <f t="array" ref="K32">_xlfn.IFS(I32&lt;=49,"Needs Improvement", I32&lt;=69, "Developing", I32&lt;=84, "Achieving", I32&lt;=94, "Exceeding", I32&gt;94, "Outstanding")</f>
        <v>Needs Improvement</v>
      </c>
      <c r="L32" cm="1">
        <f t="array" ref="L32">_xlfn.IFS(K32="Needs Improvement", 0, K32="Developing", 0.02, K32= "Achieving", 0.05, K32="Exceeding",0.8, K32="Outstanding", 0.12)</f>
        <v>0</v>
      </c>
      <c r="M32" s="4">
        <f>Cleaned[[#This Row],[Salary]]*Cleaned[[#This Row],[Bonus Percentage]]</f>
        <v>0</v>
      </c>
      <c r="N32" s="8">
        <f>Cleaned[[#This Row],[Salary]]+Cleaned[[#This Row],[Bonus Payout]]</f>
        <v>83531</v>
      </c>
    </row>
    <row r="33" spans="2:14" x14ac:dyDescent="0.25">
      <c r="B33" t="s">
        <v>98</v>
      </c>
      <c r="C33" t="s">
        <v>273</v>
      </c>
      <c r="D33" t="str">
        <f>VLOOKUP(Cleaned[[#This Row],[Dept Code]], Lookup_Departments!$A$2:$B$7, 2,FALSE)</f>
        <v>Information Technology</v>
      </c>
      <c r="E33" t="s">
        <v>5</v>
      </c>
      <c r="F33" s="2">
        <v>42785</v>
      </c>
      <c r="G33" t="str">
        <f ca="1">DATEDIF(Cleaned[[#This Row],[Hire Date]], TODAY(), "Y")&amp; "Years"</f>
        <v>9Years</v>
      </c>
      <c r="H33" s="4">
        <v>86246</v>
      </c>
      <c r="I33">
        <v>61</v>
      </c>
      <c r="J33" t="s">
        <v>21</v>
      </c>
      <c r="K33" t="str" cm="1">
        <f t="array" ref="K33">_xlfn.IFS(I33&lt;=49,"Needs Improvement", I33&lt;=69, "Developing", I33&lt;=84, "Achieving", I33&lt;=94, "Exceeding", I33&gt;94, "Outstanding")</f>
        <v>Developing</v>
      </c>
      <c r="L33" cm="1">
        <f t="array" ref="L33">_xlfn.IFS(K33="Needs Improvement", 0, K33="Developing", 0.02, K33= "Achieving", 0.05, K33="Exceeding",0.8, K33="Outstanding", 0.12)</f>
        <v>0.02</v>
      </c>
      <c r="M33" s="4">
        <f>Cleaned[[#This Row],[Salary]]*Cleaned[[#This Row],[Bonus Percentage]]</f>
        <v>1724.92</v>
      </c>
      <c r="N33" s="8">
        <f>Cleaned[[#This Row],[Salary]]+Cleaned[[#This Row],[Bonus Payout]]</f>
        <v>87970.92</v>
      </c>
    </row>
    <row r="34" spans="2:14" x14ac:dyDescent="0.25">
      <c r="B34" t="s">
        <v>127</v>
      </c>
      <c r="C34" t="s">
        <v>288</v>
      </c>
      <c r="D34" t="str">
        <f>VLOOKUP(Cleaned[[#This Row],[Dept Code]], Lookup_Departments!$A$2:$B$7, 2,FALSE)</f>
        <v>Marketing</v>
      </c>
      <c r="E34" t="s">
        <v>7</v>
      </c>
      <c r="F34" s="2">
        <v>42785</v>
      </c>
      <c r="G34" t="str">
        <f ca="1">DATEDIF(Cleaned[[#This Row],[Hire Date]], TODAY(), "Y")&amp; "Years"</f>
        <v>9Years</v>
      </c>
      <c r="H34" s="4">
        <v>82992</v>
      </c>
      <c r="I34">
        <v>79</v>
      </c>
      <c r="J34" t="s">
        <v>21</v>
      </c>
      <c r="K34" t="str" cm="1">
        <f t="array" ref="K34">_xlfn.IFS(I34&lt;=49,"Needs Improvement", I34&lt;=69, "Developing", I34&lt;=84, "Achieving", I34&lt;=94, "Exceeding", I34&gt;94, "Outstanding")</f>
        <v>Achieving</v>
      </c>
      <c r="L34" cm="1">
        <f t="array" ref="L34">_xlfn.IFS(K34="Needs Improvement", 0, K34="Developing", 0.02, K34= "Achieving", 0.05, K34="Exceeding",0.8, K34="Outstanding", 0.12)</f>
        <v>0.05</v>
      </c>
      <c r="M34" s="4">
        <f>Cleaned[[#This Row],[Salary]]*Cleaned[[#This Row],[Bonus Percentage]]</f>
        <v>4149.6000000000004</v>
      </c>
      <c r="N34" s="8">
        <f>Cleaned[[#This Row],[Salary]]+Cleaned[[#This Row],[Bonus Payout]]</f>
        <v>87141.6</v>
      </c>
    </row>
    <row r="35" spans="2:14" x14ac:dyDescent="0.25">
      <c r="B35" t="s">
        <v>80</v>
      </c>
      <c r="C35" t="s">
        <v>261</v>
      </c>
      <c r="D35" t="str">
        <f>VLOOKUP(Cleaned[[#This Row],[Dept Code]], Lookup_Departments!$A$2:$B$7, 2,FALSE)</f>
        <v>Operations</v>
      </c>
      <c r="E35" t="s">
        <v>15</v>
      </c>
      <c r="F35" s="2">
        <v>42800</v>
      </c>
      <c r="G35" t="str">
        <f ca="1">DATEDIF(Cleaned[[#This Row],[Hire Date]], TODAY(), "Y")&amp; "Years"</f>
        <v>9Years</v>
      </c>
      <c r="H35" s="4">
        <v>63302</v>
      </c>
      <c r="I35">
        <v>91</v>
      </c>
      <c r="J35" t="s">
        <v>21</v>
      </c>
      <c r="K35" t="str" cm="1">
        <f t="array" ref="K35">_xlfn.IFS(I35&lt;=49,"Needs Improvement", I35&lt;=69, "Developing", I35&lt;=84, "Achieving", I35&lt;=94, "Exceeding", I35&gt;94, "Outstanding")</f>
        <v>Exceeding</v>
      </c>
      <c r="L35" cm="1">
        <f t="array" ref="L35">_xlfn.IFS(K35="Needs Improvement", 0, K35="Developing", 0.02, K35= "Achieving", 0.05, K35="Exceeding",0.8, K35="Outstanding", 0.12)</f>
        <v>0.8</v>
      </c>
      <c r="M35" s="4">
        <f>Cleaned[[#This Row],[Salary]]*Cleaned[[#This Row],[Bonus Percentage]]</f>
        <v>50641.600000000006</v>
      </c>
      <c r="N35" s="8">
        <f>Cleaned[[#This Row],[Salary]]+Cleaned[[#This Row],[Bonus Payout]]</f>
        <v>113943.6</v>
      </c>
    </row>
    <row r="36" spans="2:14" x14ac:dyDescent="0.25">
      <c r="B36" t="s">
        <v>87</v>
      </c>
      <c r="C36" t="s">
        <v>265</v>
      </c>
      <c r="D36" t="str">
        <f>VLOOKUP(Cleaned[[#This Row],[Dept Code]], Lookup_Departments!$A$2:$B$7, 2,FALSE)</f>
        <v>Sales</v>
      </c>
      <c r="E36" t="s">
        <v>20</v>
      </c>
      <c r="F36" s="2">
        <v>42818</v>
      </c>
      <c r="G36" t="str">
        <f ca="1">DATEDIF(Cleaned[[#This Row],[Hire Date]], TODAY(), "Y")&amp; "Years"</f>
        <v>9Years</v>
      </c>
      <c r="H36" s="4">
        <v>111240</v>
      </c>
      <c r="I36">
        <v>87</v>
      </c>
      <c r="J36" t="s">
        <v>21</v>
      </c>
      <c r="K36" t="str" cm="1">
        <f t="array" ref="K36">_xlfn.IFS(I36&lt;=49,"Needs Improvement", I36&lt;=69, "Developing", I36&lt;=84, "Achieving", I36&lt;=94, "Exceeding", I36&gt;94, "Outstanding")</f>
        <v>Exceeding</v>
      </c>
      <c r="L36" cm="1">
        <f t="array" ref="L36">_xlfn.IFS(K36="Needs Improvement", 0, K36="Developing", 0.02, K36= "Achieving", 0.05, K36="Exceeding",0.8, K36="Outstanding", 0.12)</f>
        <v>0.8</v>
      </c>
      <c r="M36" s="4">
        <f>Cleaned[[#This Row],[Salary]]*Cleaned[[#This Row],[Bonus Percentage]]</f>
        <v>88992</v>
      </c>
      <c r="N36" s="8">
        <f>Cleaned[[#This Row],[Salary]]+Cleaned[[#This Row],[Bonus Payout]]</f>
        <v>200232</v>
      </c>
    </row>
    <row r="37" spans="2:14" x14ac:dyDescent="0.25">
      <c r="B37" t="s">
        <v>83</v>
      </c>
      <c r="C37" t="s">
        <v>254</v>
      </c>
      <c r="D37" t="str">
        <f>VLOOKUP(Cleaned[[#This Row],[Dept Code]], Lookup_Departments!$A$2:$B$7, 2,FALSE)</f>
        <v>Finance</v>
      </c>
      <c r="E37" t="s">
        <v>11</v>
      </c>
      <c r="F37" s="2">
        <v>42838</v>
      </c>
      <c r="G37" t="str">
        <f ca="1">DATEDIF(Cleaned[[#This Row],[Hire Date]], TODAY(), "Y")&amp; "Years"</f>
        <v>9Years</v>
      </c>
      <c r="H37" s="4">
        <v>103891</v>
      </c>
      <c r="I37">
        <v>80</v>
      </c>
      <c r="J37" t="s">
        <v>21</v>
      </c>
      <c r="K37" t="str" cm="1">
        <f t="array" ref="K37">_xlfn.IFS(I37&lt;=49,"Needs Improvement", I37&lt;=69, "Developing", I37&lt;=84, "Achieving", I37&lt;=94, "Exceeding", I37&gt;94, "Outstanding")</f>
        <v>Achieving</v>
      </c>
      <c r="L37" cm="1">
        <f t="array" ref="L37">_xlfn.IFS(K37="Needs Improvement", 0, K37="Developing", 0.02, K37= "Achieving", 0.05, K37="Exceeding",0.8, K37="Outstanding", 0.12)</f>
        <v>0.05</v>
      </c>
      <c r="M37" s="4">
        <f>Cleaned[[#This Row],[Salary]]*Cleaned[[#This Row],[Bonus Percentage]]</f>
        <v>5194.55</v>
      </c>
      <c r="N37" s="8">
        <f>Cleaned[[#This Row],[Salary]]+Cleaned[[#This Row],[Bonus Payout]]</f>
        <v>109085.55</v>
      </c>
    </row>
    <row r="38" spans="2:14" x14ac:dyDescent="0.25">
      <c r="B38" t="s">
        <v>147</v>
      </c>
      <c r="C38" t="s">
        <v>221</v>
      </c>
      <c r="D38" t="str">
        <f>VLOOKUP(Cleaned[[#This Row],[Dept Code]], Lookup_Departments!$A$2:$B$7, 2,FALSE)</f>
        <v>Marketing</v>
      </c>
      <c r="E38" t="s">
        <v>7</v>
      </c>
      <c r="F38" s="2">
        <v>42865</v>
      </c>
      <c r="G38" t="str">
        <f ca="1">DATEDIF(Cleaned[[#This Row],[Hire Date]], TODAY(), "Y")&amp; "Years"</f>
        <v>9Years</v>
      </c>
      <c r="H38" s="4">
        <v>48748</v>
      </c>
      <c r="I38">
        <v>83</v>
      </c>
      <c r="J38" t="s">
        <v>21</v>
      </c>
      <c r="K38" t="str" cm="1">
        <f t="array" ref="K38">_xlfn.IFS(I38&lt;=49,"Needs Improvement", I38&lt;=69, "Developing", I38&lt;=84, "Achieving", I38&lt;=94, "Exceeding", I38&gt;94, "Outstanding")</f>
        <v>Achieving</v>
      </c>
      <c r="L38" cm="1">
        <f t="array" ref="L38">_xlfn.IFS(K38="Needs Improvement", 0, K38="Developing", 0.02, K38= "Achieving", 0.05, K38="Exceeding",0.8, K38="Outstanding", 0.12)</f>
        <v>0.05</v>
      </c>
      <c r="M38" s="4">
        <f>Cleaned[[#This Row],[Salary]]*Cleaned[[#This Row],[Bonus Percentage]]</f>
        <v>2437.4</v>
      </c>
      <c r="N38" s="8">
        <f>Cleaned[[#This Row],[Salary]]+Cleaned[[#This Row],[Bonus Payout]]</f>
        <v>51185.4</v>
      </c>
    </row>
    <row r="39" spans="2:14" x14ac:dyDescent="0.25">
      <c r="B39" t="s">
        <v>112</v>
      </c>
      <c r="C39" t="s">
        <v>254</v>
      </c>
      <c r="D39" t="str">
        <f>VLOOKUP(Cleaned[[#This Row],[Dept Code]], Lookup_Departments!$A$2:$B$7, 2,FALSE)</f>
        <v>Information Technology</v>
      </c>
      <c r="E39" t="s">
        <v>5</v>
      </c>
      <c r="F39" s="2">
        <v>42880</v>
      </c>
      <c r="G39" t="str">
        <f ca="1">DATEDIF(Cleaned[[#This Row],[Hire Date]], TODAY(), "Y")&amp; "Years"</f>
        <v>9Years</v>
      </c>
      <c r="H39" s="4">
        <v>77545</v>
      </c>
      <c r="I39">
        <v>48</v>
      </c>
      <c r="J39" t="s">
        <v>21</v>
      </c>
      <c r="K39" t="str" cm="1">
        <f t="array" ref="K39">_xlfn.IFS(I39&lt;=49,"Needs Improvement", I39&lt;=69, "Developing", I39&lt;=84, "Achieving", I39&lt;=94, "Exceeding", I39&gt;94, "Outstanding")</f>
        <v>Needs Improvement</v>
      </c>
      <c r="L39" cm="1">
        <f t="array" ref="L39">_xlfn.IFS(K39="Needs Improvement", 0, K39="Developing", 0.02, K39= "Achieving", 0.05, K39="Exceeding",0.8, K39="Outstanding", 0.12)</f>
        <v>0</v>
      </c>
      <c r="M39" s="4">
        <f>Cleaned[[#This Row],[Salary]]*Cleaned[[#This Row],[Bonus Percentage]]</f>
        <v>0</v>
      </c>
      <c r="N39" s="8">
        <f>Cleaned[[#This Row],[Salary]]+Cleaned[[#This Row],[Bonus Payout]]</f>
        <v>77545</v>
      </c>
    </row>
    <row r="40" spans="2:14" x14ac:dyDescent="0.25">
      <c r="B40" t="s">
        <v>30</v>
      </c>
      <c r="C40" t="s">
        <v>225</v>
      </c>
      <c r="D40" t="str">
        <f>VLOOKUP(Cleaned[[#This Row],[Dept Code]], Lookup_Departments!$A$2:$B$7, 2,FALSE)</f>
        <v>Sales</v>
      </c>
      <c r="E40" t="s">
        <v>20</v>
      </c>
      <c r="F40" s="2">
        <v>42899</v>
      </c>
      <c r="G40" t="str">
        <f ca="1">DATEDIF(Cleaned[[#This Row],[Hire Date]], TODAY(), "Y")&amp; "Years"</f>
        <v>9Years</v>
      </c>
      <c r="H40" s="4">
        <v>102921</v>
      </c>
      <c r="I40">
        <v>49</v>
      </c>
      <c r="J40" t="s">
        <v>21</v>
      </c>
      <c r="K40" t="str" cm="1">
        <f t="array" ref="K40">_xlfn.IFS(I40&lt;=49,"Needs Improvement", I40&lt;=69, "Developing", I40&lt;=84, "Achieving", I40&lt;=94, "Exceeding", I40&gt;94, "Outstanding")</f>
        <v>Needs Improvement</v>
      </c>
      <c r="L40" cm="1">
        <f t="array" ref="L40">_xlfn.IFS(K40="Needs Improvement", 0, K40="Developing", 0.02, K40= "Achieving", 0.05, K40="Exceeding",0.8, K40="Outstanding", 0.12)</f>
        <v>0</v>
      </c>
      <c r="M40" s="4">
        <f>Cleaned[[#This Row],[Salary]]*Cleaned[[#This Row],[Bonus Percentage]]</f>
        <v>0</v>
      </c>
      <c r="N40" s="8">
        <f>Cleaned[[#This Row],[Salary]]+Cleaned[[#This Row],[Bonus Payout]]</f>
        <v>102921</v>
      </c>
    </row>
    <row r="41" spans="2:14" x14ac:dyDescent="0.25">
      <c r="B41" t="s">
        <v>50</v>
      </c>
      <c r="C41" t="s">
        <v>239</v>
      </c>
      <c r="D41" t="str">
        <f>VLOOKUP(Cleaned[[#This Row],[Dept Code]], Lookup_Departments!$A$2:$B$7, 2,FALSE)</f>
        <v>Finance</v>
      </c>
      <c r="E41" t="s">
        <v>11</v>
      </c>
      <c r="F41" s="2">
        <v>42919</v>
      </c>
      <c r="G41" t="str">
        <f ca="1">DATEDIF(Cleaned[[#This Row],[Hire Date]], TODAY(), "Y")&amp; "Years"</f>
        <v>9Years</v>
      </c>
      <c r="H41" s="4">
        <v>113389</v>
      </c>
      <c r="I41">
        <v>30</v>
      </c>
      <c r="J41" t="s">
        <v>21</v>
      </c>
      <c r="K41" t="str" cm="1">
        <f t="array" ref="K41">_xlfn.IFS(I41&lt;=49,"Needs Improvement", I41&lt;=69, "Developing", I41&lt;=84, "Achieving", I41&lt;=94, "Exceeding", I41&gt;94, "Outstanding")</f>
        <v>Needs Improvement</v>
      </c>
      <c r="L41" cm="1">
        <f t="array" ref="L41">_xlfn.IFS(K41="Needs Improvement", 0, K41="Developing", 0.02, K41= "Achieving", 0.05, K41="Exceeding",0.8, K41="Outstanding", 0.12)</f>
        <v>0</v>
      </c>
      <c r="M41" s="4">
        <f>Cleaned[[#This Row],[Salary]]*Cleaned[[#This Row],[Bonus Percentage]]</f>
        <v>0</v>
      </c>
      <c r="N41" s="8">
        <f>Cleaned[[#This Row],[Salary]]+Cleaned[[#This Row],[Bonus Payout]]</f>
        <v>113389</v>
      </c>
    </row>
    <row r="42" spans="2:14" x14ac:dyDescent="0.25">
      <c r="B42" t="s">
        <v>175</v>
      </c>
      <c r="C42" t="s">
        <v>312</v>
      </c>
      <c r="D42" t="str">
        <f>VLOOKUP(Cleaned[[#This Row],[Dept Code]], Lookup_Departments!$A$2:$B$7, 2,FALSE)</f>
        <v>Operations</v>
      </c>
      <c r="E42" t="s">
        <v>15</v>
      </c>
      <c r="F42" s="2">
        <v>42932</v>
      </c>
      <c r="G42" t="str">
        <f ca="1">DATEDIF(Cleaned[[#This Row],[Hire Date]], TODAY(), "Y")&amp; "Years"</f>
        <v>8Years</v>
      </c>
      <c r="H42" s="4">
        <v>65065</v>
      </c>
      <c r="I42">
        <v>98</v>
      </c>
      <c r="J42" t="s">
        <v>21</v>
      </c>
      <c r="K42" t="str" cm="1">
        <f t="array" ref="K42">_xlfn.IFS(I42&lt;=49,"Needs Improvement", I42&lt;=69, "Developing", I42&lt;=84, "Achieving", I42&lt;=94, "Exceeding", I42&gt;94, "Outstanding")</f>
        <v>Outstanding</v>
      </c>
      <c r="L42" cm="1">
        <f t="array" ref="L42">_xlfn.IFS(K42="Needs Improvement", 0, K42="Developing", 0.02, K42= "Achieving", 0.05, K42="Exceeding",0.8, K42="Outstanding", 0.12)</f>
        <v>0.12</v>
      </c>
      <c r="M42" s="4">
        <f>Cleaned[[#This Row],[Salary]]*Cleaned[[#This Row],[Bonus Percentage]]</f>
        <v>7807.7999999999993</v>
      </c>
      <c r="N42" s="8">
        <f>Cleaned[[#This Row],[Salary]]+Cleaned[[#This Row],[Bonus Payout]]</f>
        <v>72872.800000000003</v>
      </c>
    </row>
    <row r="43" spans="2:14" x14ac:dyDescent="0.25">
      <c r="B43" t="s">
        <v>162</v>
      </c>
      <c r="C43" t="s">
        <v>303</v>
      </c>
      <c r="D43" t="str">
        <f>VLOOKUP(Cleaned[[#This Row],[Dept Code]], Lookup_Departments!$A$2:$B$7, 2,FALSE)</f>
        <v>Human Resources</v>
      </c>
      <c r="E43" t="s">
        <v>49</v>
      </c>
      <c r="F43" s="2">
        <v>42944</v>
      </c>
      <c r="G43" t="str">
        <f ca="1">DATEDIF(Cleaned[[#This Row],[Hire Date]], TODAY(), "Y")&amp; "Years"</f>
        <v>8Years</v>
      </c>
      <c r="H43" s="4">
        <v>115618</v>
      </c>
      <c r="I43">
        <v>42</v>
      </c>
      <c r="J43" t="s">
        <v>21</v>
      </c>
      <c r="K43" t="str" cm="1">
        <f t="array" ref="K43">_xlfn.IFS(I43&lt;=49,"Needs Improvement", I43&lt;=69, "Developing", I43&lt;=84, "Achieving", I43&lt;=94, "Exceeding", I43&gt;94, "Outstanding")</f>
        <v>Needs Improvement</v>
      </c>
      <c r="L43" cm="1">
        <f t="array" ref="L43">_xlfn.IFS(K43="Needs Improvement", 0, K43="Developing", 0.02, K43= "Achieving", 0.05, K43="Exceeding",0.8, K43="Outstanding", 0.12)</f>
        <v>0</v>
      </c>
      <c r="M43" s="4">
        <f>Cleaned[[#This Row],[Salary]]*Cleaned[[#This Row],[Bonus Percentage]]</f>
        <v>0</v>
      </c>
      <c r="N43" s="8">
        <f>Cleaned[[#This Row],[Salary]]+Cleaned[[#This Row],[Bonus Payout]]</f>
        <v>115618</v>
      </c>
    </row>
    <row r="44" spans="2:14" x14ac:dyDescent="0.25">
      <c r="B44" t="s">
        <v>152</v>
      </c>
      <c r="C44" t="s">
        <v>300</v>
      </c>
      <c r="D44" t="str">
        <f>VLOOKUP(Cleaned[[#This Row],[Dept Code]], Lookup_Departments!$A$2:$B$7, 2,FALSE)</f>
        <v>Sales</v>
      </c>
      <c r="E44" t="s">
        <v>20</v>
      </c>
      <c r="F44" s="2">
        <v>42956</v>
      </c>
      <c r="G44" t="str">
        <f ca="1">DATEDIF(Cleaned[[#This Row],[Hire Date]], TODAY(), "Y")&amp; "Years"</f>
        <v>8Years</v>
      </c>
      <c r="H44" s="4">
        <v>72457</v>
      </c>
      <c r="I44">
        <v>76</v>
      </c>
      <c r="J44" t="s">
        <v>21</v>
      </c>
      <c r="K44" t="str" cm="1">
        <f t="array" ref="K44">_xlfn.IFS(I44&lt;=49,"Needs Improvement", I44&lt;=69, "Developing", I44&lt;=84, "Achieving", I44&lt;=94, "Exceeding", I44&gt;94, "Outstanding")</f>
        <v>Achieving</v>
      </c>
      <c r="L44" cm="1">
        <f t="array" ref="L44">_xlfn.IFS(K44="Needs Improvement", 0, K44="Developing", 0.02, K44= "Achieving", 0.05, K44="Exceeding",0.8, K44="Outstanding", 0.12)</f>
        <v>0.05</v>
      </c>
      <c r="M44" s="4">
        <f>Cleaned[[#This Row],[Salary]]*Cleaned[[#This Row],[Bonus Percentage]]</f>
        <v>3622.8500000000004</v>
      </c>
      <c r="N44" s="8">
        <f>Cleaned[[#This Row],[Salary]]+Cleaned[[#This Row],[Bonus Payout]]</f>
        <v>76079.850000000006</v>
      </c>
    </row>
    <row r="45" spans="2:14" x14ac:dyDescent="0.25">
      <c r="B45" t="s">
        <v>55</v>
      </c>
      <c r="C45" t="s">
        <v>243</v>
      </c>
      <c r="D45" t="str">
        <f>VLOOKUP(Cleaned[[#This Row],[Dept Code]], Lookup_Departments!$A$2:$B$7, 2,FALSE)</f>
        <v>Operations</v>
      </c>
      <c r="E45" t="s">
        <v>15</v>
      </c>
      <c r="F45" s="2">
        <v>42987</v>
      </c>
      <c r="G45" t="str">
        <f ca="1">DATEDIF(Cleaned[[#This Row],[Hire Date]], TODAY(), "Y")&amp; "Years"</f>
        <v>8Years</v>
      </c>
      <c r="H45" s="4">
        <v>57514</v>
      </c>
      <c r="I45">
        <v>71</v>
      </c>
      <c r="J45" t="s">
        <v>21</v>
      </c>
      <c r="K45" t="str" cm="1">
        <f t="array" ref="K45">_xlfn.IFS(I45&lt;=49,"Needs Improvement", I45&lt;=69, "Developing", I45&lt;=84, "Achieving", I45&lt;=94, "Exceeding", I45&gt;94, "Outstanding")</f>
        <v>Achieving</v>
      </c>
      <c r="L45" cm="1">
        <f t="array" ref="L45">_xlfn.IFS(K45="Needs Improvement", 0, K45="Developing", 0.02, K45= "Achieving", 0.05, K45="Exceeding",0.8, K45="Outstanding", 0.12)</f>
        <v>0.05</v>
      </c>
      <c r="M45" s="4">
        <f>Cleaned[[#This Row],[Salary]]*Cleaned[[#This Row],[Bonus Percentage]]</f>
        <v>2875.7000000000003</v>
      </c>
      <c r="N45" s="8">
        <f>Cleaned[[#This Row],[Salary]]+Cleaned[[#This Row],[Bonus Payout]]</f>
        <v>60389.7</v>
      </c>
    </row>
    <row r="46" spans="2:14" x14ac:dyDescent="0.25">
      <c r="B46" t="s">
        <v>91</v>
      </c>
      <c r="C46" t="s">
        <v>262</v>
      </c>
      <c r="D46" t="str">
        <f>VLOOKUP(Cleaned[[#This Row],[Dept Code]], Lookup_Departments!$A$2:$B$7, 2,FALSE)</f>
        <v>Human Resources</v>
      </c>
      <c r="E46" t="s">
        <v>49</v>
      </c>
      <c r="F46" s="2">
        <v>43008</v>
      </c>
      <c r="G46" t="str">
        <f ca="1">DATEDIF(Cleaned[[#This Row],[Hire Date]], TODAY(), "Y")&amp; "Years"</f>
        <v>8Years</v>
      </c>
      <c r="H46" s="4">
        <v>55270</v>
      </c>
      <c r="I46">
        <v>87</v>
      </c>
      <c r="J46" t="s">
        <v>21</v>
      </c>
      <c r="K46" t="str" cm="1">
        <f t="array" ref="K46">_xlfn.IFS(I46&lt;=49,"Needs Improvement", I46&lt;=69, "Developing", I46&lt;=84, "Achieving", I46&lt;=94, "Exceeding", I46&gt;94, "Outstanding")</f>
        <v>Exceeding</v>
      </c>
      <c r="L46" cm="1">
        <f t="array" ref="L46">_xlfn.IFS(K46="Needs Improvement", 0, K46="Developing", 0.02, K46= "Achieving", 0.05, K46="Exceeding",0.8, K46="Outstanding", 0.12)</f>
        <v>0.8</v>
      </c>
      <c r="M46" s="4">
        <f>Cleaned[[#This Row],[Salary]]*Cleaned[[#This Row],[Bonus Percentage]]</f>
        <v>44216</v>
      </c>
      <c r="N46" s="8">
        <f>Cleaned[[#This Row],[Salary]]+Cleaned[[#This Row],[Bonus Payout]]</f>
        <v>99486</v>
      </c>
    </row>
    <row r="47" spans="2:14" x14ac:dyDescent="0.25">
      <c r="B47" t="s">
        <v>172</v>
      </c>
      <c r="C47" t="s">
        <v>309</v>
      </c>
      <c r="D47" t="str">
        <f>VLOOKUP(Cleaned[[#This Row],[Dept Code]], Lookup_Departments!$A$2:$B$7, 2,FALSE)</f>
        <v>Operations</v>
      </c>
      <c r="E47" t="s">
        <v>15</v>
      </c>
      <c r="F47" s="2">
        <v>43011</v>
      </c>
      <c r="G47" t="str">
        <f ca="1">DATEDIF(Cleaned[[#This Row],[Hire Date]], TODAY(), "Y")&amp; "Years"</f>
        <v>8Years</v>
      </c>
      <c r="H47" s="4">
        <v>50399</v>
      </c>
      <c r="I47">
        <v>92</v>
      </c>
      <c r="J47" t="s">
        <v>13</v>
      </c>
      <c r="K47" t="str" cm="1">
        <f t="array" ref="K47">_xlfn.IFS(I47&lt;=49,"Needs Improvement", I47&lt;=69, "Developing", I47&lt;=84, "Achieving", I47&lt;=94, "Exceeding", I47&gt;94, "Outstanding")</f>
        <v>Exceeding</v>
      </c>
      <c r="L47" cm="1">
        <f t="array" ref="L47">_xlfn.IFS(K47="Needs Improvement", 0, K47="Developing", 0.02, K47= "Achieving", 0.05, K47="Exceeding",0.8, K47="Outstanding", 0.12)</f>
        <v>0.8</v>
      </c>
      <c r="M47" s="4">
        <f>Cleaned[[#This Row],[Salary]]*Cleaned[[#This Row],[Bonus Percentage]]</f>
        <v>40319.200000000004</v>
      </c>
      <c r="N47" s="8">
        <f>Cleaned[[#This Row],[Salary]]+Cleaned[[#This Row],[Bonus Payout]]</f>
        <v>90718.200000000012</v>
      </c>
    </row>
    <row r="48" spans="2:14" x14ac:dyDescent="0.25">
      <c r="B48" t="s">
        <v>33</v>
      </c>
      <c r="C48" t="s">
        <v>228</v>
      </c>
      <c r="D48" t="str">
        <f>VLOOKUP(Cleaned[[#This Row],[Dept Code]], Lookup_Departments!$A$2:$B$7, 2,FALSE)</f>
        <v>Finance</v>
      </c>
      <c r="E48" t="s">
        <v>11</v>
      </c>
      <c r="F48" s="2">
        <v>43076</v>
      </c>
      <c r="G48" t="str">
        <f ca="1">DATEDIF(Cleaned[[#This Row],[Hire Date]], TODAY(), "Y")&amp; "Years"</f>
        <v>8Years</v>
      </c>
      <c r="H48" s="4">
        <v>118527</v>
      </c>
      <c r="I48">
        <v>50</v>
      </c>
      <c r="J48" t="s">
        <v>21</v>
      </c>
      <c r="K48" t="str" cm="1">
        <f t="array" ref="K48">_xlfn.IFS(I48&lt;=49,"Needs Improvement", I48&lt;=69, "Developing", I48&lt;=84, "Achieving", I48&lt;=94, "Exceeding", I48&gt;94, "Outstanding")</f>
        <v>Developing</v>
      </c>
      <c r="L48" cm="1">
        <f t="array" ref="L48">_xlfn.IFS(K48="Needs Improvement", 0, K48="Developing", 0.02, K48= "Achieving", 0.05, K48="Exceeding",0.8, K48="Outstanding", 0.12)</f>
        <v>0.02</v>
      </c>
      <c r="M48" s="4">
        <f>Cleaned[[#This Row],[Salary]]*Cleaned[[#This Row],[Bonus Percentage]]</f>
        <v>2370.54</v>
      </c>
      <c r="N48" s="8">
        <f>Cleaned[[#This Row],[Salary]]+Cleaned[[#This Row],[Bonus Payout]]</f>
        <v>120897.54</v>
      </c>
    </row>
    <row r="49" spans="2:14" x14ac:dyDescent="0.25">
      <c r="B49" t="s">
        <v>167</v>
      </c>
      <c r="C49" t="s">
        <v>250</v>
      </c>
      <c r="D49" t="str">
        <f>VLOOKUP(Cleaned[[#This Row],[Dept Code]], Lookup_Departments!$A$2:$B$7, 2,FALSE)</f>
        <v>Finance</v>
      </c>
      <c r="E49" t="s">
        <v>11</v>
      </c>
      <c r="F49" s="2">
        <v>43091</v>
      </c>
      <c r="G49" t="str">
        <f ca="1">DATEDIF(Cleaned[[#This Row],[Hire Date]], TODAY(), "Y")&amp; "Years"</f>
        <v>8Years</v>
      </c>
      <c r="H49" s="4">
        <v>88005</v>
      </c>
      <c r="I49">
        <v>69</v>
      </c>
      <c r="J49" t="s">
        <v>21</v>
      </c>
      <c r="K49" t="str" cm="1">
        <f t="array" ref="K49">_xlfn.IFS(I49&lt;=49,"Needs Improvement", I49&lt;=69, "Developing", I49&lt;=84, "Achieving", I49&lt;=94, "Exceeding", I49&gt;94, "Outstanding")</f>
        <v>Developing</v>
      </c>
      <c r="L49" cm="1">
        <f t="array" ref="L49">_xlfn.IFS(K49="Needs Improvement", 0, K49="Developing", 0.02, K49= "Achieving", 0.05, K49="Exceeding",0.8, K49="Outstanding", 0.12)</f>
        <v>0.02</v>
      </c>
      <c r="M49" s="4">
        <f>Cleaned[[#This Row],[Salary]]*Cleaned[[#This Row],[Bonus Percentage]]</f>
        <v>1760.1000000000001</v>
      </c>
      <c r="N49" s="8">
        <f>Cleaned[[#This Row],[Salary]]+Cleaned[[#This Row],[Bonus Payout]]</f>
        <v>89765.1</v>
      </c>
    </row>
    <row r="50" spans="2:14" x14ac:dyDescent="0.25">
      <c r="B50" t="s">
        <v>4</v>
      </c>
      <c r="C50" t="s">
        <v>208</v>
      </c>
      <c r="D50" t="str">
        <f>VLOOKUP(Cleaned[[#This Row],[Dept Code]], Lookup_Departments!$A$2:$B$7, 2,FALSE)</f>
        <v>Information Technology</v>
      </c>
      <c r="E50" t="s">
        <v>5</v>
      </c>
      <c r="F50" s="2">
        <v>43093</v>
      </c>
      <c r="G50" t="str">
        <f ca="1">DATEDIF(Cleaned[[#This Row],[Hire Date]], TODAY(), "Y")&amp; "Years"</f>
        <v>8Years</v>
      </c>
      <c r="H50" s="4">
        <v>50361</v>
      </c>
      <c r="I50">
        <v>52</v>
      </c>
      <c r="J50" t="s">
        <v>21</v>
      </c>
      <c r="K50" t="str" cm="1">
        <f t="array" ref="K50">_xlfn.IFS(I50&lt;=49,"Needs Improvement", I50&lt;=69, "Developing", I50&lt;=84, "Achieving", I50&lt;=94, "Exceeding", I50&gt;94, "Outstanding")</f>
        <v>Developing</v>
      </c>
      <c r="L50" cm="1">
        <f t="array" ref="L50">_xlfn.IFS(K50="Needs Improvement", 0, K50="Developing", 0.02, K50= "Achieving", 0.05, K50="Exceeding",0.8, K50="Outstanding", 0.12)</f>
        <v>0.02</v>
      </c>
      <c r="M50" s="4">
        <f>Cleaned[[#This Row],[Salary]]*Cleaned[[#This Row],[Bonus Percentage]]</f>
        <v>1007.22</v>
      </c>
      <c r="N50" s="8">
        <f>Cleaned[[#This Row],[Salary]]+Cleaned[[#This Row],[Bonus Payout]]</f>
        <v>51368.22</v>
      </c>
    </row>
    <row r="51" spans="2:14" x14ac:dyDescent="0.25">
      <c r="B51" t="s">
        <v>18</v>
      </c>
      <c r="C51" t="s">
        <v>216</v>
      </c>
      <c r="D51" t="str">
        <f>VLOOKUP(Cleaned[[#This Row],[Dept Code]], Lookup_Departments!$A$2:$B$7, 2,FALSE)</f>
        <v>Finance</v>
      </c>
      <c r="E51" t="s">
        <v>11</v>
      </c>
      <c r="F51" s="2">
        <v>43107</v>
      </c>
      <c r="G51" t="str">
        <f ca="1">DATEDIF(Cleaned[[#This Row],[Hire Date]], TODAY(), "Y")&amp; "Years"</f>
        <v>8Years</v>
      </c>
      <c r="H51" s="4">
        <v>102139</v>
      </c>
      <c r="I51">
        <v>79</v>
      </c>
      <c r="J51" t="s">
        <v>21</v>
      </c>
      <c r="K51" t="str" cm="1">
        <f t="array" ref="K51">_xlfn.IFS(I51&lt;=49,"Needs Improvement", I51&lt;=69, "Developing", I51&lt;=84, "Achieving", I51&lt;=94, "Exceeding", I51&gt;94, "Outstanding")</f>
        <v>Achieving</v>
      </c>
      <c r="L51" cm="1">
        <f t="array" ref="L51">_xlfn.IFS(K51="Needs Improvement", 0, K51="Developing", 0.02, K51= "Achieving", 0.05, K51="Exceeding",0.8, K51="Outstanding", 0.12)</f>
        <v>0.05</v>
      </c>
      <c r="M51" s="4">
        <f>Cleaned[[#This Row],[Salary]]*Cleaned[[#This Row],[Bonus Percentage]]</f>
        <v>5106.9500000000007</v>
      </c>
      <c r="N51" s="8">
        <f>Cleaned[[#This Row],[Salary]]+Cleaned[[#This Row],[Bonus Payout]]</f>
        <v>107245.95</v>
      </c>
    </row>
    <row r="52" spans="2:14" x14ac:dyDescent="0.25">
      <c r="B52" t="s">
        <v>119</v>
      </c>
      <c r="C52" t="s">
        <v>283</v>
      </c>
      <c r="D52" t="str">
        <f>VLOOKUP(Cleaned[[#This Row],[Dept Code]], Lookup_Departments!$A$2:$B$7, 2,FALSE)</f>
        <v>Operations</v>
      </c>
      <c r="E52" t="s">
        <v>15</v>
      </c>
      <c r="F52" s="2">
        <v>43112</v>
      </c>
      <c r="G52" t="str">
        <f ca="1">DATEDIF(Cleaned[[#This Row],[Hire Date]], TODAY(), "Y")&amp; "Years"</f>
        <v>8Years</v>
      </c>
      <c r="H52" s="4">
        <v>67414</v>
      </c>
      <c r="I52">
        <v>84</v>
      </c>
      <c r="J52" t="s">
        <v>13</v>
      </c>
      <c r="K52" t="str" cm="1">
        <f t="array" ref="K52">_xlfn.IFS(I52&lt;=49,"Needs Improvement", I52&lt;=69, "Developing", I52&lt;=84, "Achieving", I52&lt;=94, "Exceeding", I52&gt;94, "Outstanding")</f>
        <v>Achieving</v>
      </c>
      <c r="L52" cm="1">
        <f t="array" ref="L52">_xlfn.IFS(K52="Needs Improvement", 0, K52="Developing", 0.02, K52= "Achieving", 0.05, K52="Exceeding",0.8, K52="Outstanding", 0.12)</f>
        <v>0.05</v>
      </c>
      <c r="M52" s="4">
        <f>Cleaned[[#This Row],[Salary]]*Cleaned[[#This Row],[Bonus Percentage]]</f>
        <v>3370.7000000000003</v>
      </c>
      <c r="N52" s="8">
        <f>Cleaned[[#This Row],[Salary]]+Cleaned[[#This Row],[Bonus Payout]]</f>
        <v>70784.7</v>
      </c>
    </row>
    <row r="53" spans="2:14" x14ac:dyDescent="0.25">
      <c r="B53" t="s">
        <v>130</v>
      </c>
      <c r="C53" t="s">
        <v>290</v>
      </c>
      <c r="D53" t="str">
        <f>VLOOKUP(Cleaned[[#This Row],[Dept Code]], Lookup_Departments!$A$2:$B$7, 2,FALSE)</f>
        <v>Operations</v>
      </c>
      <c r="E53" t="s">
        <v>15</v>
      </c>
      <c r="F53" s="2">
        <v>43122</v>
      </c>
      <c r="G53" t="str">
        <f ca="1">DATEDIF(Cleaned[[#This Row],[Hire Date]], TODAY(), "Y")&amp; "Years"</f>
        <v>8Years</v>
      </c>
      <c r="H53" s="4">
        <v>89060</v>
      </c>
      <c r="I53">
        <v>58</v>
      </c>
      <c r="J53" t="s">
        <v>21</v>
      </c>
      <c r="K53" t="str" cm="1">
        <f t="array" ref="K53">_xlfn.IFS(I53&lt;=49,"Needs Improvement", I53&lt;=69, "Developing", I53&lt;=84, "Achieving", I53&lt;=94, "Exceeding", I53&gt;94, "Outstanding")</f>
        <v>Developing</v>
      </c>
      <c r="L53" cm="1">
        <f t="array" ref="L53">_xlfn.IFS(K53="Needs Improvement", 0, K53="Developing", 0.02, K53= "Achieving", 0.05, K53="Exceeding",0.8, K53="Outstanding", 0.12)</f>
        <v>0.02</v>
      </c>
      <c r="M53" s="4">
        <f>Cleaned[[#This Row],[Salary]]*Cleaned[[#This Row],[Bonus Percentage]]</f>
        <v>1781.2</v>
      </c>
      <c r="N53" s="8">
        <f>Cleaned[[#This Row],[Salary]]+Cleaned[[#This Row],[Bonus Payout]]</f>
        <v>90841.2</v>
      </c>
    </row>
    <row r="54" spans="2:14" x14ac:dyDescent="0.25">
      <c r="B54" t="s">
        <v>76</v>
      </c>
      <c r="C54" t="s">
        <v>259</v>
      </c>
      <c r="D54" t="str">
        <f>VLOOKUP(Cleaned[[#This Row],[Dept Code]], Lookup_Departments!$A$2:$B$7, 2,FALSE)</f>
        <v>Human Resources</v>
      </c>
      <c r="E54" t="s">
        <v>49</v>
      </c>
      <c r="F54" s="2">
        <v>43138</v>
      </c>
      <c r="G54" t="str">
        <f ca="1">DATEDIF(Cleaned[[#This Row],[Hire Date]], TODAY(), "Y")&amp; "Years"</f>
        <v>8Years</v>
      </c>
      <c r="H54" s="4">
        <v>91655</v>
      </c>
      <c r="I54">
        <v>95</v>
      </c>
      <c r="J54" t="s">
        <v>21</v>
      </c>
      <c r="K54" t="str" cm="1">
        <f t="array" ref="K54">_xlfn.IFS(I54&lt;=49,"Needs Improvement", I54&lt;=69, "Developing", I54&lt;=84, "Achieving", I54&lt;=94, "Exceeding", I54&gt;94, "Outstanding")</f>
        <v>Outstanding</v>
      </c>
      <c r="L54" cm="1">
        <f t="array" ref="L54">_xlfn.IFS(K54="Needs Improvement", 0, K54="Developing", 0.02, K54= "Achieving", 0.05, K54="Exceeding",0.8, K54="Outstanding", 0.12)</f>
        <v>0.12</v>
      </c>
      <c r="M54" s="4">
        <f>Cleaned[[#This Row],[Salary]]*Cleaned[[#This Row],[Bonus Percentage]]</f>
        <v>10998.6</v>
      </c>
      <c r="N54" s="8">
        <f>Cleaned[[#This Row],[Salary]]+Cleaned[[#This Row],[Bonus Payout]]</f>
        <v>102653.6</v>
      </c>
    </row>
    <row r="55" spans="2:14" x14ac:dyDescent="0.25">
      <c r="B55" t="s">
        <v>56</v>
      </c>
      <c r="C55" t="s">
        <v>244</v>
      </c>
      <c r="D55" t="str">
        <f>VLOOKUP(Cleaned[[#This Row],[Dept Code]], Lookup_Departments!$A$2:$B$7, 2,FALSE)</f>
        <v>Sales</v>
      </c>
      <c r="E55" t="s">
        <v>20</v>
      </c>
      <c r="F55" s="2">
        <v>43181</v>
      </c>
      <c r="G55" t="str">
        <f ca="1">DATEDIF(Cleaned[[#This Row],[Hire Date]], TODAY(), "Y")&amp; "Years"</f>
        <v>8Years</v>
      </c>
      <c r="H55" s="4">
        <v>86245</v>
      </c>
      <c r="I55">
        <v>71</v>
      </c>
      <c r="J55" t="s">
        <v>13</v>
      </c>
      <c r="K55" t="str" cm="1">
        <f t="array" ref="K55">_xlfn.IFS(I55&lt;=49,"Needs Improvement", I55&lt;=69, "Developing", I55&lt;=84, "Achieving", I55&lt;=94, "Exceeding", I55&gt;94, "Outstanding")</f>
        <v>Achieving</v>
      </c>
      <c r="L55" cm="1">
        <f t="array" ref="L55">_xlfn.IFS(K55="Needs Improvement", 0, K55="Developing", 0.02, K55= "Achieving", 0.05, K55="Exceeding",0.8, K55="Outstanding", 0.12)</f>
        <v>0.05</v>
      </c>
      <c r="M55" s="4">
        <f>Cleaned[[#This Row],[Salary]]*Cleaned[[#This Row],[Bonus Percentage]]</f>
        <v>4312.25</v>
      </c>
      <c r="N55" s="8">
        <f>Cleaned[[#This Row],[Salary]]+Cleaned[[#This Row],[Bonus Payout]]</f>
        <v>90557.25</v>
      </c>
    </row>
    <row r="56" spans="2:14" x14ac:dyDescent="0.25">
      <c r="B56" t="s">
        <v>157</v>
      </c>
      <c r="C56" t="s">
        <v>302</v>
      </c>
      <c r="D56" t="str">
        <f>VLOOKUP(Cleaned[[#This Row],[Dept Code]], Lookup_Departments!$A$2:$B$7, 2,FALSE)</f>
        <v>Marketing</v>
      </c>
      <c r="E56" t="s">
        <v>7</v>
      </c>
      <c r="F56" s="2">
        <v>43183</v>
      </c>
      <c r="G56" t="str">
        <f ca="1">DATEDIF(Cleaned[[#This Row],[Hire Date]], TODAY(), "Y")&amp; "Years"</f>
        <v>8Years</v>
      </c>
      <c r="H56" s="4">
        <v>107903</v>
      </c>
      <c r="I56">
        <v>42</v>
      </c>
      <c r="J56" t="s">
        <v>21</v>
      </c>
      <c r="K56" t="str" cm="1">
        <f t="array" ref="K56">_xlfn.IFS(I56&lt;=49,"Needs Improvement", I56&lt;=69, "Developing", I56&lt;=84, "Achieving", I56&lt;=94, "Exceeding", I56&gt;94, "Outstanding")</f>
        <v>Needs Improvement</v>
      </c>
      <c r="L56" cm="1">
        <f t="array" ref="L56">_xlfn.IFS(K56="Needs Improvement", 0, K56="Developing", 0.02, K56= "Achieving", 0.05, K56="Exceeding",0.8, K56="Outstanding", 0.12)</f>
        <v>0</v>
      </c>
      <c r="M56" s="4">
        <f>Cleaned[[#This Row],[Salary]]*Cleaned[[#This Row],[Bonus Percentage]]</f>
        <v>0</v>
      </c>
      <c r="N56" s="8">
        <f>Cleaned[[#This Row],[Salary]]+Cleaned[[#This Row],[Bonus Payout]]</f>
        <v>107903</v>
      </c>
    </row>
    <row r="57" spans="2:14" x14ac:dyDescent="0.25">
      <c r="B57" t="s">
        <v>43</v>
      </c>
      <c r="C57" t="s">
        <v>233</v>
      </c>
      <c r="D57" t="str">
        <f>VLOOKUP(Cleaned[[#This Row],[Dept Code]], Lookup_Departments!$A$2:$B$7, 2,FALSE)</f>
        <v>Finance</v>
      </c>
      <c r="E57" t="s">
        <v>11</v>
      </c>
      <c r="F57" s="2">
        <v>43233</v>
      </c>
      <c r="G57" t="str">
        <f ca="1">DATEDIF(Cleaned[[#This Row],[Hire Date]], TODAY(), "Y")&amp; "Years"</f>
        <v>8Years</v>
      </c>
      <c r="H57" s="4">
        <v>85312</v>
      </c>
      <c r="I57">
        <v>66</v>
      </c>
      <c r="J57" t="s">
        <v>21</v>
      </c>
      <c r="K57" t="str" cm="1">
        <f t="array" ref="K57">_xlfn.IFS(I57&lt;=49,"Needs Improvement", I57&lt;=69, "Developing", I57&lt;=84, "Achieving", I57&lt;=94, "Exceeding", I57&gt;94, "Outstanding")</f>
        <v>Developing</v>
      </c>
      <c r="L57" cm="1">
        <f t="array" ref="L57">_xlfn.IFS(K57="Needs Improvement", 0, K57="Developing", 0.02, K57= "Achieving", 0.05, K57="Exceeding",0.8, K57="Outstanding", 0.12)</f>
        <v>0.02</v>
      </c>
      <c r="M57" s="4">
        <f>Cleaned[[#This Row],[Salary]]*Cleaned[[#This Row],[Bonus Percentage]]</f>
        <v>1706.24</v>
      </c>
      <c r="N57" s="8">
        <f>Cleaned[[#This Row],[Salary]]+Cleaned[[#This Row],[Bonus Payout]]</f>
        <v>87018.240000000005</v>
      </c>
    </row>
    <row r="58" spans="2:14" x14ac:dyDescent="0.25">
      <c r="B58" t="s">
        <v>31</v>
      </c>
      <c r="C58" t="s">
        <v>226</v>
      </c>
      <c r="D58" t="str">
        <f>VLOOKUP(Cleaned[[#This Row],[Dept Code]], Lookup_Departments!$A$2:$B$7, 2,FALSE)</f>
        <v>Marketing</v>
      </c>
      <c r="E58" t="s">
        <v>7</v>
      </c>
      <c r="F58" s="2">
        <v>43235</v>
      </c>
      <c r="G58" t="str">
        <f ca="1">DATEDIF(Cleaned[[#This Row],[Hire Date]], TODAY(), "Y")&amp; "Years"</f>
        <v>8Years</v>
      </c>
      <c r="H58" s="4">
        <v>73984</v>
      </c>
      <c r="I58">
        <v>93</v>
      </c>
      <c r="J58" t="s">
        <v>21</v>
      </c>
      <c r="K58" t="str" cm="1">
        <f t="array" ref="K58">_xlfn.IFS(I58&lt;=49,"Needs Improvement", I58&lt;=69, "Developing", I58&lt;=84, "Achieving", I58&lt;=94, "Exceeding", I58&gt;94, "Outstanding")</f>
        <v>Exceeding</v>
      </c>
      <c r="L58" cm="1">
        <f t="array" ref="L58">_xlfn.IFS(K58="Needs Improvement", 0, K58="Developing", 0.02, K58= "Achieving", 0.05, K58="Exceeding",0.8, K58="Outstanding", 0.12)</f>
        <v>0.8</v>
      </c>
      <c r="M58" s="4">
        <f>Cleaned[[#This Row],[Salary]]*Cleaned[[#This Row],[Bonus Percentage]]</f>
        <v>59187.200000000004</v>
      </c>
      <c r="N58" s="8">
        <f>Cleaned[[#This Row],[Salary]]+Cleaned[[#This Row],[Bonus Payout]]</f>
        <v>133171.20000000001</v>
      </c>
    </row>
    <row r="59" spans="2:14" x14ac:dyDescent="0.25">
      <c r="B59" t="s">
        <v>174</v>
      </c>
      <c r="C59" t="s">
        <v>311</v>
      </c>
      <c r="D59" t="str">
        <f>VLOOKUP(Cleaned[[#This Row],[Dept Code]], Lookup_Departments!$A$2:$B$7, 2,FALSE)</f>
        <v>Operations</v>
      </c>
      <c r="E59" t="s">
        <v>15</v>
      </c>
      <c r="F59" s="2">
        <v>43257</v>
      </c>
      <c r="G59" t="str">
        <f ca="1">DATEDIF(Cleaned[[#This Row],[Hire Date]], TODAY(), "Y")&amp; "Years"</f>
        <v>8Years</v>
      </c>
      <c r="H59" s="4">
        <v>52720</v>
      </c>
      <c r="I59">
        <v>68</v>
      </c>
      <c r="J59" t="s">
        <v>21</v>
      </c>
      <c r="K59" t="str" cm="1">
        <f t="array" ref="K59">_xlfn.IFS(I59&lt;=49,"Needs Improvement", I59&lt;=69, "Developing", I59&lt;=84, "Achieving", I59&lt;=94, "Exceeding", I59&gt;94, "Outstanding")</f>
        <v>Developing</v>
      </c>
      <c r="L59" cm="1">
        <f t="array" ref="L59">_xlfn.IFS(K59="Needs Improvement", 0, K59="Developing", 0.02, K59= "Achieving", 0.05, K59="Exceeding",0.8, K59="Outstanding", 0.12)</f>
        <v>0.02</v>
      </c>
      <c r="M59" s="4">
        <f>Cleaned[[#This Row],[Salary]]*Cleaned[[#This Row],[Bonus Percentage]]</f>
        <v>1054.4000000000001</v>
      </c>
      <c r="N59" s="8">
        <f>Cleaned[[#This Row],[Salary]]+Cleaned[[#This Row],[Bonus Payout]]</f>
        <v>53774.400000000001</v>
      </c>
    </row>
    <row r="60" spans="2:14" x14ac:dyDescent="0.25">
      <c r="B60" t="s">
        <v>117</v>
      </c>
      <c r="C60" t="s">
        <v>250</v>
      </c>
      <c r="D60" t="str">
        <f>VLOOKUP(Cleaned[[#This Row],[Dept Code]], Lookup_Departments!$A$2:$B$7, 2,FALSE)</f>
        <v>Information Technology</v>
      </c>
      <c r="E60" t="s">
        <v>5</v>
      </c>
      <c r="F60" s="2">
        <v>43270</v>
      </c>
      <c r="G60" t="str">
        <f ca="1">DATEDIF(Cleaned[[#This Row],[Hire Date]], TODAY(), "Y")&amp; "Years"</f>
        <v>8Years</v>
      </c>
      <c r="H60" s="4">
        <v>88056</v>
      </c>
      <c r="I60">
        <v>66</v>
      </c>
      <c r="J60" t="s">
        <v>21</v>
      </c>
      <c r="K60" t="str" cm="1">
        <f t="array" ref="K60">_xlfn.IFS(I60&lt;=49,"Needs Improvement", I60&lt;=69, "Developing", I60&lt;=84, "Achieving", I60&lt;=94, "Exceeding", I60&gt;94, "Outstanding")</f>
        <v>Developing</v>
      </c>
      <c r="L60" cm="1">
        <f t="array" ref="L60">_xlfn.IFS(K60="Needs Improvement", 0, K60="Developing", 0.02, K60= "Achieving", 0.05, K60="Exceeding",0.8, K60="Outstanding", 0.12)</f>
        <v>0.02</v>
      </c>
      <c r="M60" s="4">
        <f>Cleaned[[#This Row],[Salary]]*Cleaned[[#This Row],[Bonus Percentage]]</f>
        <v>1761.1200000000001</v>
      </c>
      <c r="N60" s="8">
        <f>Cleaned[[#This Row],[Salary]]+Cleaned[[#This Row],[Bonus Payout]]</f>
        <v>89817.12</v>
      </c>
    </row>
    <row r="61" spans="2:14" x14ac:dyDescent="0.25">
      <c r="B61" t="s">
        <v>93</v>
      </c>
      <c r="C61" t="s">
        <v>269</v>
      </c>
      <c r="D61" t="str">
        <f>VLOOKUP(Cleaned[[#This Row],[Dept Code]], Lookup_Departments!$A$2:$B$7, 2,FALSE)</f>
        <v>Sales</v>
      </c>
      <c r="E61" t="s">
        <v>20</v>
      </c>
      <c r="F61" s="2">
        <v>43283</v>
      </c>
      <c r="G61" t="str">
        <f ca="1">DATEDIF(Cleaned[[#This Row],[Hire Date]], TODAY(), "Y")&amp; "Years"</f>
        <v>8Years</v>
      </c>
      <c r="H61" s="4">
        <v>72457</v>
      </c>
      <c r="I61">
        <v>72</v>
      </c>
      <c r="J61" t="s">
        <v>13</v>
      </c>
      <c r="K61" t="str" cm="1">
        <f t="array" ref="K61">_xlfn.IFS(I61&lt;=49,"Needs Improvement", I61&lt;=69, "Developing", I61&lt;=84, "Achieving", I61&lt;=94, "Exceeding", I61&gt;94, "Outstanding")</f>
        <v>Achieving</v>
      </c>
      <c r="L61" cm="1">
        <f t="array" ref="L61">_xlfn.IFS(K61="Needs Improvement", 0, K61="Developing", 0.02, K61= "Achieving", 0.05, K61="Exceeding",0.8, K61="Outstanding", 0.12)</f>
        <v>0.05</v>
      </c>
      <c r="M61" s="4">
        <f>Cleaned[[#This Row],[Salary]]*Cleaned[[#This Row],[Bonus Percentage]]</f>
        <v>3622.8500000000004</v>
      </c>
      <c r="N61" s="8">
        <f>Cleaned[[#This Row],[Salary]]+Cleaned[[#This Row],[Bonus Payout]]</f>
        <v>76079.850000000006</v>
      </c>
    </row>
    <row r="62" spans="2:14" x14ac:dyDescent="0.25">
      <c r="B62" t="s">
        <v>159</v>
      </c>
      <c r="C62" t="s">
        <v>278</v>
      </c>
      <c r="D62" t="str">
        <f>VLOOKUP(Cleaned[[#This Row],[Dept Code]], Lookup_Departments!$A$2:$B$7, 2,FALSE)</f>
        <v>Human Resources</v>
      </c>
      <c r="E62" t="s">
        <v>49</v>
      </c>
      <c r="F62" s="2">
        <v>43301</v>
      </c>
      <c r="G62" t="str">
        <f ca="1">DATEDIF(Cleaned[[#This Row],[Hire Date]], TODAY(), "Y")&amp; "Years"</f>
        <v>7Years</v>
      </c>
      <c r="H62" s="4">
        <v>85151</v>
      </c>
      <c r="I62">
        <v>35</v>
      </c>
      <c r="J62" t="s">
        <v>21</v>
      </c>
      <c r="K62" t="str" cm="1">
        <f t="array" ref="K62">_xlfn.IFS(I62&lt;=49,"Needs Improvement", I62&lt;=69, "Developing", I62&lt;=84, "Achieving", I62&lt;=94, "Exceeding", I62&gt;94, "Outstanding")</f>
        <v>Needs Improvement</v>
      </c>
      <c r="L62" cm="1">
        <f t="array" ref="L62">_xlfn.IFS(K62="Needs Improvement", 0, K62="Developing", 0.02, K62= "Achieving", 0.05, K62="Exceeding",0.8, K62="Outstanding", 0.12)</f>
        <v>0</v>
      </c>
      <c r="M62" s="4">
        <f>Cleaned[[#This Row],[Salary]]*Cleaned[[#This Row],[Bonus Percentage]]</f>
        <v>0</v>
      </c>
      <c r="N62" s="8">
        <f>Cleaned[[#This Row],[Salary]]+Cleaned[[#This Row],[Bonus Payout]]</f>
        <v>85151</v>
      </c>
    </row>
    <row r="63" spans="2:14" x14ac:dyDescent="0.25">
      <c r="B63" t="s">
        <v>158</v>
      </c>
      <c r="C63" t="s">
        <v>291</v>
      </c>
      <c r="D63" t="str">
        <f>VLOOKUP(Cleaned[[#This Row],[Dept Code]], Lookup_Departments!$A$2:$B$7, 2,FALSE)</f>
        <v>Information Technology</v>
      </c>
      <c r="E63" t="s">
        <v>5</v>
      </c>
      <c r="F63" s="2">
        <v>43305</v>
      </c>
      <c r="G63" t="str">
        <f ca="1">DATEDIF(Cleaned[[#This Row],[Hire Date]], TODAY(), "Y")&amp; "Years"</f>
        <v>7Years</v>
      </c>
      <c r="H63" s="4">
        <v>62818</v>
      </c>
      <c r="I63">
        <v>34</v>
      </c>
      <c r="J63" t="s">
        <v>21</v>
      </c>
      <c r="K63" t="str" cm="1">
        <f t="array" ref="K63">_xlfn.IFS(I63&lt;=49,"Needs Improvement", I63&lt;=69, "Developing", I63&lt;=84, "Achieving", I63&lt;=94, "Exceeding", I63&gt;94, "Outstanding")</f>
        <v>Needs Improvement</v>
      </c>
      <c r="L63" cm="1">
        <f t="array" ref="L63">_xlfn.IFS(K63="Needs Improvement", 0, K63="Developing", 0.02, K63= "Achieving", 0.05, K63="Exceeding",0.8, K63="Outstanding", 0.12)</f>
        <v>0</v>
      </c>
      <c r="M63" s="4">
        <f>Cleaned[[#This Row],[Salary]]*Cleaned[[#This Row],[Bonus Percentage]]</f>
        <v>0</v>
      </c>
      <c r="N63" s="8">
        <f>Cleaned[[#This Row],[Salary]]+Cleaned[[#This Row],[Bonus Payout]]</f>
        <v>62818</v>
      </c>
    </row>
    <row r="64" spans="2:14" x14ac:dyDescent="0.25">
      <c r="B64" t="s">
        <v>169</v>
      </c>
      <c r="C64" t="s">
        <v>307</v>
      </c>
      <c r="D64" t="str">
        <f>VLOOKUP(Cleaned[[#This Row],[Dept Code]], Lookup_Departments!$A$2:$B$7, 2,FALSE)</f>
        <v>Information Technology</v>
      </c>
      <c r="E64" t="s">
        <v>5</v>
      </c>
      <c r="F64" s="2">
        <v>43360</v>
      </c>
      <c r="G64" t="str">
        <f ca="1">DATEDIF(Cleaned[[#This Row],[Hire Date]], TODAY(), "Y")&amp; "Years"</f>
        <v>7Years</v>
      </c>
      <c r="H64" s="4">
        <v>61547</v>
      </c>
      <c r="I64">
        <v>68</v>
      </c>
      <c r="J64" t="s">
        <v>21</v>
      </c>
      <c r="K64" t="str" cm="1">
        <f t="array" ref="K64">_xlfn.IFS(I64&lt;=49,"Needs Improvement", I64&lt;=69, "Developing", I64&lt;=84, "Achieving", I64&lt;=94, "Exceeding", I64&gt;94, "Outstanding")</f>
        <v>Developing</v>
      </c>
      <c r="L64" cm="1">
        <f t="array" ref="L64">_xlfn.IFS(K64="Needs Improvement", 0, K64="Developing", 0.02, K64= "Achieving", 0.05, K64="Exceeding",0.8, K64="Outstanding", 0.12)</f>
        <v>0.02</v>
      </c>
      <c r="M64" s="4">
        <f>Cleaned[[#This Row],[Salary]]*Cleaned[[#This Row],[Bonus Percentage]]</f>
        <v>1230.94</v>
      </c>
      <c r="N64" s="8">
        <f>Cleaned[[#This Row],[Salary]]+Cleaned[[#This Row],[Bonus Payout]]</f>
        <v>62777.94</v>
      </c>
    </row>
    <row r="65" spans="2:14" x14ac:dyDescent="0.25">
      <c r="B65" t="s">
        <v>103</v>
      </c>
      <c r="C65" t="s">
        <v>275</v>
      </c>
      <c r="D65" t="str">
        <f>VLOOKUP(Cleaned[[#This Row],[Dept Code]], Lookup_Departments!$A$2:$B$7, 2,FALSE)</f>
        <v>Human Resources</v>
      </c>
      <c r="E65" t="s">
        <v>49</v>
      </c>
      <c r="F65" s="2">
        <v>43372</v>
      </c>
      <c r="G65" t="str">
        <f ca="1">DATEDIF(Cleaned[[#This Row],[Hire Date]], TODAY(), "Y")&amp; "Years"</f>
        <v>7Years</v>
      </c>
      <c r="H65" s="4">
        <v>47694</v>
      </c>
      <c r="I65">
        <v>75</v>
      </c>
      <c r="J65" t="s">
        <v>21</v>
      </c>
      <c r="K65" t="str" cm="1">
        <f t="array" ref="K65">_xlfn.IFS(I65&lt;=49,"Needs Improvement", I65&lt;=69, "Developing", I65&lt;=84, "Achieving", I65&lt;=94, "Exceeding", I65&gt;94, "Outstanding")</f>
        <v>Achieving</v>
      </c>
      <c r="L65" cm="1">
        <f t="array" ref="L65">_xlfn.IFS(K65="Needs Improvement", 0, K65="Developing", 0.02, K65= "Achieving", 0.05, K65="Exceeding",0.8, K65="Outstanding", 0.12)</f>
        <v>0.05</v>
      </c>
      <c r="M65" s="4">
        <f>Cleaned[[#This Row],[Salary]]*Cleaned[[#This Row],[Bonus Percentage]]</f>
        <v>2384.7000000000003</v>
      </c>
      <c r="N65" s="8">
        <f>Cleaned[[#This Row],[Salary]]+Cleaned[[#This Row],[Bonus Payout]]</f>
        <v>50078.7</v>
      </c>
    </row>
    <row r="66" spans="2:14" x14ac:dyDescent="0.25">
      <c r="B66" t="s">
        <v>114</v>
      </c>
      <c r="C66" t="s">
        <v>281</v>
      </c>
      <c r="D66" t="str">
        <f>VLOOKUP(Cleaned[[#This Row],[Dept Code]], Lookup_Departments!$A$2:$B$7, 2,FALSE)</f>
        <v>Operations</v>
      </c>
      <c r="E66" t="s">
        <v>15</v>
      </c>
      <c r="F66" s="2">
        <v>43436</v>
      </c>
      <c r="G66" t="str">
        <f ca="1">DATEDIF(Cleaned[[#This Row],[Hire Date]], TODAY(), "Y")&amp; "Years"</f>
        <v>7Years</v>
      </c>
      <c r="H66" s="4">
        <v>68683</v>
      </c>
      <c r="I66">
        <v>90</v>
      </c>
      <c r="J66" t="s">
        <v>21</v>
      </c>
      <c r="K66" t="str" cm="1">
        <f t="array" ref="K66">_xlfn.IFS(I66&lt;=49,"Needs Improvement", I66&lt;=69, "Developing", I66&lt;=84, "Achieving", I66&lt;=94, "Exceeding", I66&gt;94, "Outstanding")</f>
        <v>Exceeding</v>
      </c>
      <c r="L66" cm="1">
        <f t="array" ref="L66">_xlfn.IFS(K66="Needs Improvement", 0, K66="Developing", 0.02, K66= "Achieving", 0.05, K66="Exceeding",0.8, K66="Outstanding", 0.12)</f>
        <v>0.8</v>
      </c>
      <c r="M66" s="4">
        <f>Cleaned[[#This Row],[Salary]]*Cleaned[[#This Row],[Bonus Percentage]]</f>
        <v>54946.400000000001</v>
      </c>
      <c r="N66" s="8">
        <f>Cleaned[[#This Row],[Salary]]+Cleaned[[#This Row],[Bonus Payout]]</f>
        <v>123629.4</v>
      </c>
    </row>
    <row r="67" spans="2:14" x14ac:dyDescent="0.25">
      <c r="B67" t="s">
        <v>122</v>
      </c>
      <c r="C67" t="s">
        <v>284</v>
      </c>
      <c r="D67" t="str">
        <f>VLOOKUP(Cleaned[[#This Row],[Dept Code]], Lookup_Departments!$A$2:$B$7, 2,FALSE)</f>
        <v>Sales</v>
      </c>
      <c r="E67" t="s">
        <v>20</v>
      </c>
      <c r="F67" s="2">
        <v>43439</v>
      </c>
      <c r="G67" t="str">
        <f ca="1">DATEDIF(Cleaned[[#This Row],[Hire Date]], TODAY(), "Y")&amp; "Years"</f>
        <v>7Years</v>
      </c>
      <c r="H67" s="4">
        <v>80140</v>
      </c>
      <c r="I67">
        <v>58</v>
      </c>
      <c r="J67" t="s">
        <v>21</v>
      </c>
      <c r="K67" t="str" cm="1">
        <f t="array" ref="K67">_xlfn.IFS(I67&lt;=49,"Needs Improvement", I67&lt;=69, "Developing", I67&lt;=84, "Achieving", I67&lt;=94, "Exceeding", I67&gt;94, "Outstanding")</f>
        <v>Developing</v>
      </c>
      <c r="L67" cm="1">
        <f t="array" ref="L67">_xlfn.IFS(K67="Needs Improvement", 0, K67="Developing", 0.02, K67= "Achieving", 0.05, K67="Exceeding",0.8, K67="Outstanding", 0.12)</f>
        <v>0.02</v>
      </c>
      <c r="M67" s="4">
        <f>Cleaned[[#This Row],[Salary]]*Cleaned[[#This Row],[Bonus Percentage]]</f>
        <v>1602.8</v>
      </c>
      <c r="N67" s="8">
        <f>Cleaned[[#This Row],[Salary]]+Cleaned[[#This Row],[Bonus Payout]]</f>
        <v>81742.8</v>
      </c>
    </row>
    <row r="68" spans="2:14" x14ac:dyDescent="0.25">
      <c r="B68" t="s">
        <v>72</v>
      </c>
      <c r="C68" t="s">
        <v>213</v>
      </c>
      <c r="D68" t="str">
        <f>VLOOKUP(Cleaned[[#This Row],[Dept Code]], Lookup_Departments!$A$2:$B$7, 2,FALSE)</f>
        <v>Sales</v>
      </c>
      <c r="E68" t="s">
        <v>20</v>
      </c>
      <c r="F68" s="2">
        <v>43464</v>
      </c>
      <c r="G68" t="str">
        <f ca="1">DATEDIF(Cleaned[[#This Row],[Hire Date]], TODAY(), "Y")&amp; "Years"</f>
        <v>7Years</v>
      </c>
      <c r="H68" s="4">
        <v>80189</v>
      </c>
      <c r="I68">
        <v>30</v>
      </c>
      <c r="J68" t="s">
        <v>21</v>
      </c>
      <c r="K68" t="str" cm="1">
        <f t="array" ref="K68">_xlfn.IFS(I68&lt;=49,"Needs Improvement", I68&lt;=69, "Developing", I68&lt;=84, "Achieving", I68&lt;=94, "Exceeding", I68&gt;94, "Outstanding")</f>
        <v>Needs Improvement</v>
      </c>
      <c r="L68" cm="1">
        <f t="array" ref="L68">_xlfn.IFS(K68="Needs Improvement", 0, K68="Developing", 0.02, K68= "Achieving", 0.05, K68="Exceeding",0.8, K68="Outstanding", 0.12)</f>
        <v>0</v>
      </c>
      <c r="M68" s="4">
        <f>Cleaned[[#This Row],[Salary]]*Cleaned[[#This Row],[Bonus Percentage]]</f>
        <v>0</v>
      </c>
      <c r="N68" s="8">
        <f>Cleaned[[#This Row],[Salary]]+Cleaned[[#This Row],[Bonus Payout]]</f>
        <v>80189</v>
      </c>
    </row>
    <row r="69" spans="2:14" x14ac:dyDescent="0.25">
      <c r="B69" t="s">
        <v>181</v>
      </c>
      <c r="C69" t="s">
        <v>313</v>
      </c>
      <c r="D69" t="str">
        <f>VLOOKUP(Cleaned[[#This Row],[Dept Code]], Lookup_Departments!$A$2:$B$7, 2,FALSE)</f>
        <v>Information Technology</v>
      </c>
      <c r="E69" t="s">
        <v>5</v>
      </c>
      <c r="F69" s="2">
        <v>43477</v>
      </c>
      <c r="G69" t="str">
        <f ca="1">DATEDIF(Cleaned[[#This Row],[Hire Date]], TODAY(), "Y")&amp; "Years"</f>
        <v>7Years</v>
      </c>
      <c r="H69" s="4">
        <v>112887</v>
      </c>
      <c r="I69">
        <v>59</v>
      </c>
      <c r="J69" t="s">
        <v>21</v>
      </c>
      <c r="K69" t="str" cm="1">
        <f t="array" ref="K69">_xlfn.IFS(I69&lt;=49,"Needs Improvement", I69&lt;=69, "Developing", I69&lt;=84, "Achieving", I69&lt;=94, "Exceeding", I69&gt;94, "Outstanding")</f>
        <v>Developing</v>
      </c>
      <c r="L69" cm="1">
        <f t="array" ref="L69">_xlfn.IFS(K69="Needs Improvement", 0, K69="Developing", 0.02, K69= "Achieving", 0.05, K69="Exceeding",0.8, K69="Outstanding", 0.12)</f>
        <v>0.02</v>
      </c>
      <c r="M69" s="4">
        <f>Cleaned[[#This Row],[Salary]]*Cleaned[[#This Row],[Bonus Percentage]]</f>
        <v>2257.7400000000002</v>
      </c>
      <c r="N69" s="8">
        <f>Cleaned[[#This Row],[Salary]]+Cleaned[[#This Row],[Bonus Payout]]</f>
        <v>115144.74</v>
      </c>
    </row>
    <row r="70" spans="2:14" x14ac:dyDescent="0.25">
      <c r="B70" t="s">
        <v>137</v>
      </c>
      <c r="C70" t="s">
        <v>243</v>
      </c>
      <c r="D70" t="str">
        <f>VLOOKUP(Cleaned[[#This Row],[Dept Code]], Lookup_Departments!$A$2:$B$7, 2,FALSE)</f>
        <v>Sales</v>
      </c>
      <c r="E70" t="s">
        <v>20</v>
      </c>
      <c r="F70" s="2">
        <v>43513</v>
      </c>
      <c r="G70" t="str">
        <f ca="1">DATEDIF(Cleaned[[#This Row],[Hire Date]], TODAY(), "Y")&amp; "Years"</f>
        <v>7Years</v>
      </c>
      <c r="H70" s="4">
        <v>95686</v>
      </c>
      <c r="I70">
        <v>91</v>
      </c>
      <c r="J70" t="s">
        <v>21</v>
      </c>
      <c r="K70" t="str" cm="1">
        <f t="array" ref="K70">_xlfn.IFS(I70&lt;=49,"Needs Improvement", I70&lt;=69, "Developing", I70&lt;=84, "Achieving", I70&lt;=94, "Exceeding", I70&gt;94, "Outstanding")</f>
        <v>Exceeding</v>
      </c>
      <c r="L70" cm="1">
        <f t="array" ref="L70">_xlfn.IFS(K70="Needs Improvement", 0, K70="Developing", 0.02, K70= "Achieving", 0.05, K70="Exceeding",0.8, K70="Outstanding", 0.12)</f>
        <v>0.8</v>
      </c>
      <c r="M70" s="4">
        <f>Cleaned[[#This Row],[Salary]]*Cleaned[[#This Row],[Bonus Percentage]]</f>
        <v>76548.800000000003</v>
      </c>
      <c r="N70" s="8">
        <f>Cleaned[[#This Row],[Salary]]+Cleaned[[#This Row],[Bonus Payout]]</f>
        <v>172234.8</v>
      </c>
    </row>
    <row r="71" spans="2:14" x14ac:dyDescent="0.25">
      <c r="B71" t="s">
        <v>125</v>
      </c>
      <c r="C71" t="s">
        <v>286</v>
      </c>
      <c r="D71" t="str">
        <f>VLOOKUP(Cleaned[[#This Row],[Dept Code]], Lookup_Departments!$A$2:$B$7, 2,FALSE)</f>
        <v>Information Technology</v>
      </c>
      <c r="E71" t="s">
        <v>5</v>
      </c>
      <c r="F71" s="2">
        <v>43532</v>
      </c>
      <c r="G71" t="str">
        <f ca="1">DATEDIF(Cleaned[[#This Row],[Hire Date]], TODAY(), "Y")&amp; "Years"</f>
        <v>7Years</v>
      </c>
      <c r="H71" s="4">
        <v>72457</v>
      </c>
      <c r="I71">
        <v>33</v>
      </c>
      <c r="J71" t="s">
        <v>21</v>
      </c>
      <c r="K71" t="str" cm="1">
        <f t="array" ref="K71">_xlfn.IFS(I71&lt;=49,"Needs Improvement", I71&lt;=69, "Developing", I71&lt;=84, "Achieving", I71&lt;=94, "Exceeding", I71&gt;94, "Outstanding")</f>
        <v>Needs Improvement</v>
      </c>
      <c r="L71" cm="1">
        <f t="array" ref="L71">_xlfn.IFS(K71="Needs Improvement", 0, K71="Developing", 0.02, K71= "Achieving", 0.05, K71="Exceeding",0.8, K71="Outstanding", 0.12)</f>
        <v>0</v>
      </c>
      <c r="M71" s="4">
        <f>Cleaned[[#This Row],[Salary]]*Cleaned[[#This Row],[Bonus Percentage]]</f>
        <v>0</v>
      </c>
      <c r="N71" s="8">
        <f>Cleaned[[#This Row],[Salary]]+Cleaned[[#This Row],[Bonus Payout]]</f>
        <v>72457</v>
      </c>
    </row>
    <row r="72" spans="2:14" x14ac:dyDescent="0.25">
      <c r="B72" t="s">
        <v>58</v>
      </c>
      <c r="C72" t="s">
        <v>246</v>
      </c>
      <c r="D72" t="str">
        <f>VLOOKUP(Cleaned[[#This Row],[Dept Code]], Lookup_Departments!$A$2:$B$7, 2,FALSE)</f>
        <v>Operations</v>
      </c>
      <c r="E72" t="s">
        <v>15</v>
      </c>
      <c r="F72" s="2">
        <v>43549</v>
      </c>
      <c r="G72" t="str">
        <f ca="1">DATEDIF(Cleaned[[#This Row],[Hire Date]], TODAY(), "Y")&amp; "Years"</f>
        <v>7Years</v>
      </c>
      <c r="H72" s="4">
        <v>66606</v>
      </c>
      <c r="I72">
        <v>93</v>
      </c>
      <c r="J72" t="s">
        <v>60</v>
      </c>
      <c r="K72" t="str" cm="1">
        <f t="array" ref="K72">_xlfn.IFS(I72&lt;=49,"Needs Improvement", I72&lt;=69, "Developing", I72&lt;=84, "Achieving", I72&lt;=94, "Exceeding", I72&gt;94, "Outstanding")</f>
        <v>Exceeding</v>
      </c>
      <c r="L72" cm="1">
        <f t="array" ref="L72">_xlfn.IFS(K72="Needs Improvement", 0, K72="Developing", 0.02, K72= "Achieving", 0.05, K72="Exceeding",0.8, K72="Outstanding", 0.12)</f>
        <v>0.8</v>
      </c>
      <c r="M72" s="4">
        <f>Cleaned[[#This Row],[Salary]]*Cleaned[[#This Row],[Bonus Percentage]]</f>
        <v>53284.800000000003</v>
      </c>
      <c r="N72" s="8">
        <f>Cleaned[[#This Row],[Salary]]+Cleaned[[#This Row],[Bonus Payout]]</f>
        <v>119890.8</v>
      </c>
    </row>
    <row r="73" spans="2:14" x14ac:dyDescent="0.25">
      <c r="B73" t="s">
        <v>97</v>
      </c>
      <c r="C73" t="s">
        <v>271</v>
      </c>
      <c r="D73" t="str">
        <f>VLOOKUP(Cleaned[[#This Row],[Dept Code]], Lookup_Departments!$A$2:$B$7, 2,FALSE)</f>
        <v>Finance</v>
      </c>
      <c r="E73" t="s">
        <v>11</v>
      </c>
      <c r="F73" s="2">
        <v>43575</v>
      </c>
      <c r="G73" t="str">
        <f ca="1">DATEDIF(Cleaned[[#This Row],[Hire Date]], TODAY(), "Y")&amp; "Years"</f>
        <v>7Years</v>
      </c>
      <c r="H73" s="4">
        <v>45196</v>
      </c>
      <c r="I73">
        <v>78</v>
      </c>
      <c r="J73" t="s">
        <v>13</v>
      </c>
      <c r="K73" t="str" cm="1">
        <f t="array" ref="K73">_xlfn.IFS(I73&lt;=49,"Needs Improvement", I73&lt;=69, "Developing", I73&lt;=84, "Achieving", I73&lt;=94, "Exceeding", I73&gt;94, "Outstanding")</f>
        <v>Achieving</v>
      </c>
      <c r="L73" cm="1">
        <f t="array" ref="L73">_xlfn.IFS(K73="Needs Improvement", 0, K73="Developing", 0.02, K73= "Achieving", 0.05, K73="Exceeding",0.8, K73="Outstanding", 0.12)</f>
        <v>0.05</v>
      </c>
      <c r="M73" s="4">
        <f>Cleaned[[#This Row],[Salary]]*Cleaned[[#This Row],[Bonus Percentage]]</f>
        <v>2259.8000000000002</v>
      </c>
      <c r="N73" s="8">
        <f>Cleaned[[#This Row],[Salary]]+Cleaned[[#This Row],[Bonus Payout]]</f>
        <v>47455.8</v>
      </c>
    </row>
    <row r="74" spans="2:14" x14ac:dyDescent="0.25">
      <c r="B74" t="s">
        <v>89</v>
      </c>
      <c r="C74" t="s">
        <v>266</v>
      </c>
      <c r="D74" t="str">
        <f>VLOOKUP(Cleaned[[#This Row],[Dept Code]], Lookup_Departments!$A$2:$B$7, 2,FALSE)</f>
        <v>Human Resources</v>
      </c>
      <c r="E74" t="s">
        <v>49</v>
      </c>
      <c r="F74" s="2">
        <v>43590</v>
      </c>
      <c r="G74" t="str">
        <f ca="1">DATEDIF(Cleaned[[#This Row],[Hire Date]], TODAY(), "Y")&amp; "Years"</f>
        <v>7Years</v>
      </c>
      <c r="H74" s="4">
        <v>51567</v>
      </c>
      <c r="I74">
        <v>87</v>
      </c>
      <c r="J74" t="s">
        <v>60</v>
      </c>
      <c r="K74" t="str" cm="1">
        <f t="array" ref="K74">_xlfn.IFS(I74&lt;=49,"Needs Improvement", I74&lt;=69, "Developing", I74&lt;=84, "Achieving", I74&lt;=94, "Exceeding", I74&gt;94, "Outstanding")</f>
        <v>Exceeding</v>
      </c>
      <c r="L74" cm="1">
        <f t="array" ref="L74">_xlfn.IFS(K74="Needs Improvement", 0, K74="Developing", 0.02, K74= "Achieving", 0.05, K74="Exceeding",0.8, K74="Outstanding", 0.12)</f>
        <v>0.8</v>
      </c>
      <c r="M74" s="4">
        <f>Cleaned[[#This Row],[Salary]]*Cleaned[[#This Row],[Bonus Percentage]]</f>
        <v>41253.600000000006</v>
      </c>
      <c r="N74" s="8">
        <f>Cleaned[[#This Row],[Salary]]+Cleaned[[#This Row],[Bonus Payout]]</f>
        <v>92820.6</v>
      </c>
    </row>
    <row r="75" spans="2:14" x14ac:dyDescent="0.25">
      <c r="B75" t="s">
        <v>101</v>
      </c>
      <c r="C75" t="s">
        <v>243</v>
      </c>
      <c r="D75" t="str">
        <f>VLOOKUP(Cleaned[[#This Row],[Dept Code]], Lookup_Departments!$A$2:$B$7, 2,FALSE)</f>
        <v>Marketing</v>
      </c>
      <c r="E75" t="s">
        <v>7</v>
      </c>
      <c r="F75" s="2">
        <v>43599</v>
      </c>
      <c r="G75" t="str">
        <f ca="1">DATEDIF(Cleaned[[#This Row],[Hire Date]], TODAY(), "Y")&amp; "Years"</f>
        <v>7Years</v>
      </c>
      <c r="H75" s="4">
        <v>72457</v>
      </c>
      <c r="I75">
        <v>94</v>
      </c>
      <c r="J75" t="s">
        <v>21</v>
      </c>
      <c r="K75" t="str" cm="1">
        <f t="array" ref="K75">_xlfn.IFS(I75&lt;=49,"Needs Improvement", I75&lt;=69, "Developing", I75&lt;=84, "Achieving", I75&lt;=94, "Exceeding", I75&gt;94, "Outstanding")</f>
        <v>Exceeding</v>
      </c>
      <c r="L75" cm="1">
        <f t="array" ref="L75">_xlfn.IFS(K75="Needs Improvement", 0, K75="Developing", 0.02, K75= "Achieving", 0.05, K75="Exceeding",0.8, K75="Outstanding", 0.12)</f>
        <v>0.8</v>
      </c>
      <c r="M75" s="4">
        <f>Cleaned[[#This Row],[Salary]]*Cleaned[[#This Row],[Bonus Percentage]]</f>
        <v>57965.600000000006</v>
      </c>
      <c r="N75" s="8">
        <f>Cleaned[[#This Row],[Salary]]+Cleaned[[#This Row],[Bonus Payout]]</f>
        <v>130422.6</v>
      </c>
    </row>
    <row r="76" spans="2:14" x14ac:dyDescent="0.25">
      <c r="B76" t="s">
        <v>177</v>
      </c>
      <c r="C76" t="s">
        <v>305</v>
      </c>
      <c r="D76" t="str">
        <f>VLOOKUP(Cleaned[[#This Row],[Dept Code]], Lookup_Departments!$A$2:$B$7, 2,FALSE)</f>
        <v>Operations</v>
      </c>
      <c r="E76" t="s">
        <v>15</v>
      </c>
      <c r="F76" s="2">
        <v>43609</v>
      </c>
      <c r="G76" t="str">
        <f ca="1">DATEDIF(Cleaned[[#This Row],[Hire Date]], TODAY(), "Y")&amp; "Years"</f>
        <v>7Years</v>
      </c>
      <c r="H76" s="4">
        <v>108119</v>
      </c>
      <c r="I76">
        <v>57</v>
      </c>
      <c r="J76" t="s">
        <v>60</v>
      </c>
      <c r="K76" t="str" cm="1">
        <f t="array" ref="K76">_xlfn.IFS(I76&lt;=49,"Needs Improvement", I76&lt;=69, "Developing", I76&lt;=84, "Achieving", I76&lt;=94, "Exceeding", I76&gt;94, "Outstanding")</f>
        <v>Developing</v>
      </c>
      <c r="L76" cm="1">
        <f t="array" ref="L76">_xlfn.IFS(K76="Needs Improvement", 0, K76="Developing", 0.02, K76= "Achieving", 0.05, K76="Exceeding",0.8, K76="Outstanding", 0.12)</f>
        <v>0.02</v>
      </c>
      <c r="M76" s="4">
        <f>Cleaned[[#This Row],[Salary]]*Cleaned[[#This Row],[Bonus Percentage]]</f>
        <v>2162.38</v>
      </c>
      <c r="N76" s="8">
        <f>Cleaned[[#This Row],[Salary]]+Cleaned[[#This Row],[Bonus Payout]]</f>
        <v>110281.38</v>
      </c>
    </row>
    <row r="77" spans="2:14" x14ac:dyDescent="0.25">
      <c r="B77" t="s">
        <v>47</v>
      </c>
      <c r="C77" t="s">
        <v>237</v>
      </c>
      <c r="D77" t="str">
        <f>VLOOKUP(Cleaned[[#This Row],[Dept Code]], Lookup_Departments!$A$2:$B$7, 2,FALSE)</f>
        <v>Information Technology</v>
      </c>
      <c r="E77" t="s">
        <v>5</v>
      </c>
      <c r="F77" s="2">
        <v>43626</v>
      </c>
      <c r="G77" t="str">
        <f ca="1">DATEDIF(Cleaned[[#This Row],[Hire Date]], TODAY(), "Y")&amp; "Years"</f>
        <v>7Years</v>
      </c>
      <c r="H77" s="4">
        <v>90157</v>
      </c>
      <c r="I77">
        <v>58</v>
      </c>
      <c r="J77" t="s">
        <v>21</v>
      </c>
      <c r="K77" t="str" cm="1">
        <f t="array" ref="K77">_xlfn.IFS(I77&lt;=49,"Needs Improvement", I77&lt;=69, "Developing", I77&lt;=84, "Achieving", I77&lt;=94, "Exceeding", I77&gt;94, "Outstanding")</f>
        <v>Developing</v>
      </c>
      <c r="L77" cm="1">
        <f t="array" ref="L77">_xlfn.IFS(K77="Needs Improvement", 0, K77="Developing", 0.02, K77= "Achieving", 0.05, K77="Exceeding",0.8, K77="Outstanding", 0.12)</f>
        <v>0.02</v>
      </c>
      <c r="M77" s="4">
        <f>Cleaned[[#This Row],[Salary]]*Cleaned[[#This Row],[Bonus Percentage]]</f>
        <v>1803.14</v>
      </c>
      <c r="N77" s="8">
        <f>Cleaned[[#This Row],[Salary]]+Cleaned[[#This Row],[Bonus Payout]]</f>
        <v>91960.14</v>
      </c>
    </row>
    <row r="78" spans="2:14" x14ac:dyDescent="0.25">
      <c r="B78" t="s">
        <v>115</v>
      </c>
      <c r="C78" t="s">
        <v>264</v>
      </c>
      <c r="D78" t="str">
        <f>VLOOKUP(Cleaned[[#This Row],[Dept Code]], Lookup_Departments!$A$2:$B$7, 2,FALSE)</f>
        <v>Finance</v>
      </c>
      <c r="E78" t="s">
        <v>11</v>
      </c>
      <c r="F78" s="2">
        <v>43639</v>
      </c>
      <c r="G78" t="str">
        <f ca="1">DATEDIF(Cleaned[[#This Row],[Hire Date]], TODAY(), "Y")&amp; "Years"</f>
        <v>7Years</v>
      </c>
      <c r="H78" s="4">
        <v>83932</v>
      </c>
      <c r="I78">
        <v>57</v>
      </c>
      <c r="J78" t="s">
        <v>13</v>
      </c>
      <c r="K78" t="str" cm="1">
        <f t="array" ref="K78">_xlfn.IFS(I78&lt;=49,"Needs Improvement", I78&lt;=69, "Developing", I78&lt;=84, "Achieving", I78&lt;=94, "Exceeding", I78&gt;94, "Outstanding")</f>
        <v>Developing</v>
      </c>
      <c r="L78" cm="1">
        <f t="array" ref="L78">_xlfn.IFS(K78="Needs Improvement", 0, K78="Developing", 0.02, K78= "Achieving", 0.05, K78="Exceeding",0.8, K78="Outstanding", 0.12)</f>
        <v>0.02</v>
      </c>
      <c r="M78" s="4">
        <f>Cleaned[[#This Row],[Salary]]*Cleaned[[#This Row],[Bonus Percentage]]</f>
        <v>1678.64</v>
      </c>
      <c r="N78" s="8">
        <f>Cleaned[[#This Row],[Salary]]+Cleaned[[#This Row],[Bonus Payout]]</f>
        <v>85610.64</v>
      </c>
    </row>
    <row r="79" spans="2:14" x14ac:dyDescent="0.25">
      <c r="B79" t="s">
        <v>64</v>
      </c>
      <c r="C79" t="s">
        <v>250</v>
      </c>
      <c r="D79" t="str">
        <f>VLOOKUP(Cleaned[[#This Row],[Dept Code]], Lookup_Departments!$A$2:$B$7, 2,FALSE)</f>
        <v>Marketing</v>
      </c>
      <c r="E79" t="s">
        <v>7</v>
      </c>
      <c r="F79" s="2">
        <v>43656</v>
      </c>
      <c r="G79" t="str">
        <f ca="1">DATEDIF(Cleaned[[#This Row],[Hire Date]], TODAY(), "Y")&amp; "Years"</f>
        <v>6Years</v>
      </c>
      <c r="H79" s="4">
        <v>91749</v>
      </c>
      <c r="I79">
        <v>72</v>
      </c>
      <c r="J79" t="s">
        <v>13</v>
      </c>
      <c r="K79" t="str" cm="1">
        <f t="array" ref="K79">_xlfn.IFS(I79&lt;=49,"Needs Improvement", I79&lt;=69, "Developing", I79&lt;=84, "Achieving", I79&lt;=94, "Exceeding", I79&gt;94, "Outstanding")</f>
        <v>Achieving</v>
      </c>
      <c r="L79" cm="1">
        <f t="array" ref="L79">_xlfn.IFS(K79="Needs Improvement", 0, K79="Developing", 0.02, K79= "Achieving", 0.05, K79="Exceeding",0.8, K79="Outstanding", 0.12)</f>
        <v>0.05</v>
      </c>
      <c r="M79" s="4">
        <f>Cleaned[[#This Row],[Salary]]*Cleaned[[#This Row],[Bonus Percentage]]</f>
        <v>4587.45</v>
      </c>
      <c r="N79" s="8">
        <f>Cleaned[[#This Row],[Salary]]+Cleaned[[#This Row],[Bonus Payout]]</f>
        <v>96336.45</v>
      </c>
    </row>
    <row r="80" spans="2:14" x14ac:dyDescent="0.25">
      <c r="B80" t="s">
        <v>61</v>
      </c>
      <c r="C80" t="s">
        <v>247</v>
      </c>
      <c r="D80" t="str">
        <f>VLOOKUP(Cleaned[[#This Row],[Dept Code]], Lookup_Departments!$A$2:$B$7, 2,FALSE)</f>
        <v>Information Technology</v>
      </c>
      <c r="E80" t="s">
        <v>5</v>
      </c>
      <c r="F80" s="2">
        <v>43686</v>
      </c>
      <c r="G80" t="str">
        <f ca="1">DATEDIF(Cleaned[[#This Row],[Hire Date]], TODAY(), "Y")&amp; "Years"</f>
        <v>6Years</v>
      </c>
      <c r="H80" s="4">
        <v>81896</v>
      </c>
      <c r="I80">
        <v>79</v>
      </c>
      <c r="J80" t="s">
        <v>60</v>
      </c>
      <c r="K80" t="str" cm="1">
        <f t="array" ref="K80">_xlfn.IFS(I80&lt;=49,"Needs Improvement", I80&lt;=69, "Developing", I80&lt;=84, "Achieving", I80&lt;=94, "Exceeding", I80&gt;94, "Outstanding")</f>
        <v>Achieving</v>
      </c>
      <c r="L80" cm="1">
        <f t="array" ref="L80">_xlfn.IFS(K80="Needs Improvement", 0, K80="Developing", 0.02, K80= "Achieving", 0.05, K80="Exceeding",0.8, K80="Outstanding", 0.12)</f>
        <v>0.05</v>
      </c>
      <c r="M80" s="4">
        <f>Cleaned[[#This Row],[Salary]]*Cleaned[[#This Row],[Bonus Percentage]]</f>
        <v>4094.8</v>
      </c>
      <c r="N80" s="8">
        <f>Cleaned[[#This Row],[Salary]]+Cleaned[[#This Row],[Bonus Payout]]</f>
        <v>85990.8</v>
      </c>
    </row>
    <row r="81" spans="2:14" x14ac:dyDescent="0.25">
      <c r="B81" t="s">
        <v>39</v>
      </c>
      <c r="C81" t="s">
        <v>214</v>
      </c>
      <c r="D81" t="str">
        <f>VLOOKUP(Cleaned[[#This Row],[Dept Code]], Lookup_Departments!$A$2:$B$7, 2,FALSE)</f>
        <v>Sales</v>
      </c>
      <c r="E81" t="s">
        <v>20</v>
      </c>
      <c r="F81" s="2">
        <v>43732</v>
      </c>
      <c r="G81" t="str">
        <f ca="1">DATEDIF(Cleaned[[#This Row],[Hire Date]], TODAY(), "Y")&amp; "Years"</f>
        <v>6Years</v>
      </c>
      <c r="H81" s="4">
        <v>77610</v>
      </c>
      <c r="I81">
        <v>88</v>
      </c>
      <c r="J81" t="s">
        <v>21</v>
      </c>
      <c r="K81" t="str" cm="1">
        <f t="array" ref="K81">_xlfn.IFS(I81&lt;=49,"Needs Improvement", I81&lt;=69, "Developing", I81&lt;=84, "Achieving", I81&lt;=94, "Exceeding", I81&gt;94, "Outstanding")</f>
        <v>Exceeding</v>
      </c>
      <c r="L81" cm="1">
        <f t="array" ref="L81">_xlfn.IFS(K81="Needs Improvement", 0, K81="Developing", 0.02, K81= "Achieving", 0.05, K81="Exceeding",0.8, K81="Outstanding", 0.12)</f>
        <v>0.8</v>
      </c>
      <c r="M81" s="4">
        <f>Cleaned[[#This Row],[Salary]]*Cleaned[[#This Row],[Bonus Percentage]]</f>
        <v>62088</v>
      </c>
      <c r="N81" s="8">
        <f>Cleaned[[#This Row],[Salary]]+Cleaned[[#This Row],[Bonus Payout]]</f>
        <v>139698</v>
      </c>
    </row>
    <row r="82" spans="2:14" x14ac:dyDescent="0.25">
      <c r="B82" t="s">
        <v>71</v>
      </c>
      <c r="C82" t="s">
        <v>223</v>
      </c>
      <c r="D82" t="str">
        <f>VLOOKUP(Cleaned[[#This Row],[Dept Code]], Lookup_Departments!$A$2:$B$7, 2,FALSE)</f>
        <v>Finance</v>
      </c>
      <c r="E82" t="s">
        <v>11</v>
      </c>
      <c r="F82" s="2">
        <v>43745</v>
      </c>
      <c r="G82" t="str">
        <f ca="1">DATEDIF(Cleaned[[#This Row],[Hire Date]], TODAY(), "Y")&amp; "Years"</f>
        <v>6Years</v>
      </c>
      <c r="H82" s="4">
        <v>55920</v>
      </c>
      <c r="I82">
        <v>84</v>
      </c>
      <c r="J82" t="s">
        <v>21</v>
      </c>
      <c r="K82" t="str" cm="1">
        <f t="array" ref="K82">_xlfn.IFS(I82&lt;=49,"Needs Improvement", I82&lt;=69, "Developing", I82&lt;=84, "Achieving", I82&lt;=94, "Exceeding", I82&gt;94, "Outstanding")</f>
        <v>Achieving</v>
      </c>
      <c r="L82" cm="1">
        <f t="array" ref="L82">_xlfn.IFS(K82="Needs Improvement", 0, K82="Developing", 0.02, K82= "Achieving", 0.05, K82="Exceeding",0.8, K82="Outstanding", 0.12)</f>
        <v>0.05</v>
      </c>
      <c r="M82" s="4">
        <f>Cleaned[[#This Row],[Salary]]*Cleaned[[#This Row],[Bonus Percentage]]</f>
        <v>2796</v>
      </c>
      <c r="N82" s="8">
        <f>Cleaned[[#This Row],[Salary]]+Cleaned[[#This Row],[Bonus Payout]]</f>
        <v>58716</v>
      </c>
    </row>
    <row r="83" spans="2:14" x14ac:dyDescent="0.25">
      <c r="B83" t="s">
        <v>111</v>
      </c>
      <c r="C83" t="s">
        <v>210</v>
      </c>
      <c r="D83" t="str">
        <f>VLOOKUP(Cleaned[[#This Row],[Dept Code]], Lookup_Departments!$A$2:$B$7, 2,FALSE)</f>
        <v>Human Resources</v>
      </c>
      <c r="E83" t="s">
        <v>49</v>
      </c>
      <c r="F83" s="2">
        <v>43796</v>
      </c>
      <c r="G83" t="str">
        <f ca="1">DATEDIF(Cleaned[[#This Row],[Hire Date]], TODAY(), "Y")&amp; "Years"</f>
        <v>6Years</v>
      </c>
      <c r="H83" s="4">
        <v>86232</v>
      </c>
      <c r="I83">
        <v>93</v>
      </c>
      <c r="J83" t="s">
        <v>21</v>
      </c>
      <c r="K83" t="str" cm="1">
        <f t="array" ref="K83">_xlfn.IFS(I83&lt;=49,"Needs Improvement", I83&lt;=69, "Developing", I83&lt;=84, "Achieving", I83&lt;=94, "Exceeding", I83&gt;94, "Outstanding")</f>
        <v>Exceeding</v>
      </c>
      <c r="L83" cm="1">
        <f t="array" ref="L83">_xlfn.IFS(K83="Needs Improvement", 0, K83="Developing", 0.02, K83= "Achieving", 0.05, K83="Exceeding",0.8, K83="Outstanding", 0.12)</f>
        <v>0.8</v>
      </c>
      <c r="M83" s="4">
        <f>Cleaned[[#This Row],[Salary]]*Cleaned[[#This Row],[Bonus Percentage]]</f>
        <v>68985.600000000006</v>
      </c>
      <c r="N83" s="8">
        <f>Cleaned[[#This Row],[Salary]]+Cleaned[[#This Row],[Bonus Payout]]</f>
        <v>155217.60000000001</v>
      </c>
    </row>
    <row r="84" spans="2:14" x14ac:dyDescent="0.25">
      <c r="B84" t="s">
        <v>27</v>
      </c>
      <c r="C84" t="s">
        <v>222</v>
      </c>
      <c r="D84" t="str">
        <f>VLOOKUP(Cleaned[[#This Row],[Dept Code]], Lookup_Departments!$A$2:$B$7, 2,FALSE)</f>
        <v>Marketing</v>
      </c>
      <c r="E84" t="s">
        <v>7</v>
      </c>
      <c r="F84" s="2">
        <v>43820</v>
      </c>
      <c r="G84" t="str">
        <f ca="1">DATEDIF(Cleaned[[#This Row],[Hire Date]], TODAY(), "Y")&amp; "Years"</f>
        <v>6Years</v>
      </c>
      <c r="H84" s="4">
        <v>80385</v>
      </c>
      <c r="I84">
        <v>77</v>
      </c>
      <c r="J84" t="s">
        <v>21</v>
      </c>
      <c r="K84" t="str" cm="1">
        <f t="array" ref="K84">_xlfn.IFS(I84&lt;=49,"Needs Improvement", I84&lt;=69, "Developing", I84&lt;=84, "Achieving", I84&lt;=94, "Exceeding", I84&gt;94, "Outstanding")</f>
        <v>Achieving</v>
      </c>
      <c r="L84" cm="1">
        <f t="array" ref="L84">_xlfn.IFS(K84="Needs Improvement", 0, K84="Developing", 0.02, K84= "Achieving", 0.05, K84="Exceeding",0.8, K84="Outstanding", 0.12)</f>
        <v>0.05</v>
      </c>
      <c r="M84" s="4">
        <f>Cleaned[[#This Row],[Salary]]*Cleaned[[#This Row],[Bonus Percentage]]</f>
        <v>4019.25</v>
      </c>
      <c r="N84" s="8">
        <f>Cleaned[[#This Row],[Salary]]+Cleaned[[#This Row],[Bonus Payout]]</f>
        <v>84404.25</v>
      </c>
    </row>
    <row r="85" spans="2:14" x14ac:dyDescent="0.25">
      <c r="B85" t="s">
        <v>131</v>
      </c>
      <c r="C85" t="s">
        <v>270</v>
      </c>
      <c r="D85" t="str">
        <f>VLOOKUP(Cleaned[[#This Row],[Dept Code]], Lookup_Departments!$A$2:$B$7, 2,FALSE)</f>
        <v>Information Technology</v>
      </c>
      <c r="E85" t="s">
        <v>5</v>
      </c>
      <c r="F85" s="2">
        <v>43879</v>
      </c>
      <c r="G85" t="str">
        <f ca="1">DATEDIF(Cleaned[[#This Row],[Hire Date]], TODAY(), "Y")&amp; "Years"</f>
        <v>6Years</v>
      </c>
      <c r="H85" s="4">
        <v>53786</v>
      </c>
      <c r="I85">
        <v>98</v>
      </c>
      <c r="J85" t="s">
        <v>21</v>
      </c>
      <c r="K85" t="str" cm="1">
        <f t="array" ref="K85">_xlfn.IFS(I85&lt;=49,"Needs Improvement", I85&lt;=69, "Developing", I85&lt;=84, "Achieving", I85&lt;=94, "Exceeding", I85&gt;94, "Outstanding")</f>
        <v>Outstanding</v>
      </c>
      <c r="L85" cm="1">
        <f t="array" ref="L85">_xlfn.IFS(K85="Needs Improvement", 0, K85="Developing", 0.02, K85= "Achieving", 0.05, K85="Exceeding",0.8, K85="Outstanding", 0.12)</f>
        <v>0.12</v>
      </c>
      <c r="M85" s="4">
        <f>Cleaned[[#This Row],[Salary]]*Cleaned[[#This Row],[Bonus Percentage]]</f>
        <v>6454.32</v>
      </c>
      <c r="N85" s="8">
        <f>Cleaned[[#This Row],[Salary]]+Cleaned[[#This Row],[Bonus Payout]]</f>
        <v>60240.32</v>
      </c>
    </row>
    <row r="86" spans="2:14" x14ac:dyDescent="0.25">
      <c r="B86" t="s">
        <v>179</v>
      </c>
      <c r="C86" t="s">
        <v>252</v>
      </c>
      <c r="D86" t="str">
        <f>VLOOKUP(Cleaned[[#This Row],[Dept Code]], Lookup_Departments!$A$2:$B$7, 2,FALSE)</f>
        <v>Information Technology</v>
      </c>
      <c r="E86" t="s">
        <v>5</v>
      </c>
      <c r="F86" s="2">
        <v>43887</v>
      </c>
      <c r="G86" t="str">
        <f ca="1">DATEDIF(Cleaned[[#This Row],[Hire Date]], TODAY(), "Y")&amp; "Years"</f>
        <v>6Years</v>
      </c>
      <c r="H86" s="4">
        <v>72457</v>
      </c>
      <c r="I86">
        <v>96</v>
      </c>
      <c r="J86" t="s">
        <v>21</v>
      </c>
      <c r="K86" t="str" cm="1">
        <f t="array" ref="K86">_xlfn.IFS(I86&lt;=49,"Needs Improvement", I86&lt;=69, "Developing", I86&lt;=84, "Achieving", I86&lt;=94, "Exceeding", I86&gt;94, "Outstanding")</f>
        <v>Outstanding</v>
      </c>
      <c r="L86" cm="1">
        <f t="array" ref="L86">_xlfn.IFS(K86="Needs Improvement", 0, K86="Developing", 0.02, K86= "Achieving", 0.05, K86="Exceeding",0.8, K86="Outstanding", 0.12)</f>
        <v>0.12</v>
      </c>
      <c r="M86" s="4">
        <f>Cleaned[[#This Row],[Salary]]*Cleaned[[#This Row],[Bonus Percentage]]</f>
        <v>8694.84</v>
      </c>
      <c r="N86" s="8">
        <f>Cleaned[[#This Row],[Salary]]+Cleaned[[#This Row],[Bonus Payout]]</f>
        <v>81151.839999999997</v>
      </c>
    </row>
    <row r="87" spans="2:14" x14ac:dyDescent="0.25">
      <c r="B87" t="s">
        <v>14</v>
      </c>
      <c r="C87" t="s">
        <v>213</v>
      </c>
      <c r="D87" t="str">
        <f>VLOOKUP(Cleaned[[#This Row],[Dept Code]], Lookup_Departments!$A$2:$B$7, 2,FALSE)</f>
        <v>Operations</v>
      </c>
      <c r="E87" t="s">
        <v>15</v>
      </c>
      <c r="F87" s="2">
        <v>43892</v>
      </c>
      <c r="G87" t="str">
        <f ca="1">DATEDIF(Cleaned[[#This Row],[Hire Date]], TODAY(), "Y")&amp; "Years"</f>
        <v>6Years</v>
      </c>
      <c r="H87" s="4">
        <v>115882</v>
      </c>
      <c r="I87">
        <v>49</v>
      </c>
      <c r="J87" t="s">
        <v>21</v>
      </c>
      <c r="K87" t="str" cm="1">
        <f t="array" ref="K87">_xlfn.IFS(I87&lt;=49,"Needs Improvement", I87&lt;=69, "Developing", I87&lt;=84, "Achieving", I87&lt;=94, "Exceeding", I87&gt;94, "Outstanding")</f>
        <v>Needs Improvement</v>
      </c>
      <c r="L87" cm="1">
        <f t="array" ref="L87">_xlfn.IFS(K87="Needs Improvement", 0, K87="Developing", 0.02, K87= "Achieving", 0.05, K87="Exceeding",0.8, K87="Outstanding", 0.12)</f>
        <v>0</v>
      </c>
      <c r="M87" s="4">
        <f>Cleaned[[#This Row],[Salary]]*Cleaned[[#This Row],[Bonus Percentage]]</f>
        <v>0</v>
      </c>
      <c r="N87" s="8">
        <f>Cleaned[[#This Row],[Salary]]+Cleaned[[#This Row],[Bonus Payout]]</f>
        <v>115882</v>
      </c>
    </row>
    <row r="88" spans="2:14" x14ac:dyDescent="0.25">
      <c r="B88" t="s">
        <v>22</v>
      </c>
      <c r="C88" t="s">
        <v>218</v>
      </c>
      <c r="D88" t="str">
        <f>VLOOKUP(Cleaned[[#This Row],[Dept Code]], Lookup_Departments!$A$2:$B$7, 2,FALSE)</f>
        <v>Sales</v>
      </c>
      <c r="E88" t="s">
        <v>20</v>
      </c>
      <c r="F88" s="2">
        <v>43911</v>
      </c>
      <c r="G88" t="str">
        <f ca="1">DATEDIF(Cleaned[[#This Row],[Hire Date]], TODAY(), "Y")&amp; "Years"</f>
        <v>6Years</v>
      </c>
      <c r="H88" s="4">
        <v>118635</v>
      </c>
      <c r="I88">
        <v>49</v>
      </c>
      <c r="J88" t="s">
        <v>21</v>
      </c>
      <c r="K88" t="str" cm="1">
        <f t="array" ref="K88">_xlfn.IFS(I88&lt;=49,"Needs Improvement", I88&lt;=69, "Developing", I88&lt;=84, "Achieving", I88&lt;=94, "Exceeding", I88&gt;94, "Outstanding")</f>
        <v>Needs Improvement</v>
      </c>
      <c r="L88" cm="1">
        <f t="array" ref="L88">_xlfn.IFS(K88="Needs Improvement", 0, K88="Developing", 0.02, K88= "Achieving", 0.05, K88="Exceeding",0.8, K88="Outstanding", 0.12)</f>
        <v>0</v>
      </c>
      <c r="M88" s="4">
        <f>Cleaned[[#This Row],[Salary]]*Cleaned[[#This Row],[Bonus Percentage]]</f>
        <v>0</v>
      </c>
      <c r="N88" s="8">
        <f>Cleaned[[#This Row],[Salary]]+Cleaned[[#This Row],[Bonus Payout]]</f>
        <v>118635</v>
      </c>
    </row>
    <row r="89" spans="2:14" x14ac:dyDescent="0.25">
      <c r="B89" t="s">
        <v>54</v>
      </c>
      <c r="C89" t="s">
        <v>242</v>
      </c>
      <c r="D89" t="str">
        <f>VLOOKUP(Cleaned[[#This Row],[Dept Code]], Lookup_Departments!$A$2:$B$7, 2,FALSE)</f>
        <v>Finance</v>
      </c>
      <c r="E89" t="s">
        <v>11</v>
      </c>
      <c r="F89" s="2">
        <v>43949</v>
      </c>
      <c r="G89" t="str">
        <f ca="1">DATEDIF(Cleaned[[#This Row],[Hire Date]], TODAY(), "Y")&amp; "Years"</f>
        <v>6Years</v>
      </c>
      <c r="H89" s="4">
        <v>72457</v>
      </c>
      <c r="I89">
        <v>80</v>
      </c>
      <c r="J89" t="s">
        <v>13</v>
      </c>
      <c r="K89" t="str" cm="1">
        <f t="array" ref="K89">_xlfn.IFS(I89&lt;=49,"Needs Improvement", I89&lt;=69, "Developing", I89&lt;=84, "Achieving", I89&lt;=94, "Exceeding", I89&gt;94, "Outstanding")</f>
        <v>Achieving</v>
      </c>
      <c r="L89" cm="1">
        <f t="array" ref="L89">_xlfn.IFS(K89="Needs Improvement", 0, K89="Developing", 0.02, K89= "Achieving", 0.05, K89="Exceeding",0.8, K89="Outstanding", 0.12)</f>
        <v>0.05</v>
      </c>
      <c r="M89" s="4">
        <f>Cleaned[[#This Row],[Salary]]*Cleaned[[#This Row],[Bonus Percentage]]</f>
        <v>3622.8500000000004</v>
      </c>
      <c r="N89" s="8">
        <f>Cleaned[[#This Row],[Salary]]+Cleaned[[#This Row],[Bonus Payout]]</f>
        <v>76079.850000000006</v>
      </c>
    </row>
    <row r="90" spans="2:14" x14ac:dyDescent="0.25">
      <c r="B90" t="s">
        <v>57</v>
      </c>
      <c r="C90" t="s">
        <v>245</v>
      </c>
      <c r="D90" t="str">
        <f>VLOOKUP(Cleaned[[#This Row],[Dept Code]], Lookup_Departments!$A$2:$B$7, 2,FALSE)</f>
        <v>Sales</v>
      </c>
      <c r="E90" t="s">
        <v>20</v>
      </c>
      <c r="F90" s="2">
        <v>43958</v>
      </c>
      <c r="G90" t="str">
        <f ca="1">DATEDIF(Cleaned[[#This Row],[Hire Date]], TODAY(), "Y")&amp; "Years"</f>
        <v>6Years</v>
      </c>
      <c r="H90" s="4">
        <v>52407</v>
      </c>
      <c r="I90">
        <v>55</v>
      </c>
      <c r="J90" t="s">
        <v>21</v>
      </c>
      <c r="K90" t="str" cm="1">
        <f t="array" ref="K90">_xlfn.IFS(I90&lt;=49,"Needs Improvement", I90&lt;=69, "Developing", I90&lt;=84, "Achieving", I90&lt;=94, "Exceeding", I90&gt;94, "Outstanding")</f>
        <v>Developing</v>
      </c>
      <c r="L90" cm="1">
        <f t="array" ref="L90">_xlfn.IFS(K90="Needs Improvement", 0, K90="Developing", 0.02, K90= "Achieving", 0.05, K90="Exceeding",0.8, K90="Outstanding", 0.12)</f>
        <v>0.02</v>
      </c>
      <c r="M90" s="4">
        <f>Cleaned[[#This Row],[Salary]]*Cleaned[[#This Row],[Bonus Percentage]]</f>
        <v>1048.1400000000001</v>
      </c>
      <c r="N90" s="8">
        <f>Cleaned[[#This Row],[Salary]]+Cleaned[[#This Row],[Bonus Payout]]</f>
        <v>53455.14</v>
      </c>
    </row>
    <row r="91" spans="2:14" x14ac:dyDescent="0.25">
      <c r="B91" t="s">
        <v>148</v>
      </c>
      <c r="C91" t="s">
        <v>297</v>
      </c>
      <c r="D91" t="str">
        <f>VLOOKUP(Cleaned[[#This Row],[Dept Code]], Lookup_Departments!$A$2:$B$7, 2,FALSE)</f>
        <v>Operations</v>
      </c>
      <c r="E91" t="s">
        <v>15</v>
      </c>
      <c r="F91" s="2">
        <v>43971</v>
      </c>
      <c r="G91" t="str">
        <f ca="1">DATEDIF(Cleaned[[#This Row],[Hire Date]], TODAY(), "Y")&amp; "Years"</f>
        <v>6Years</v>
      </c>
      <c r="H91" s="4">
        <v>101997</v>
      </c>
      <c r="I91">
        <v>38</v>
      </c>
      <c r="J91" t="s">
        <v>60</v>
      </c>
      <c r="K91" t="str" cm="1">
        <f t="array" ref="K91">_xlfn.IFS(I91&lt;=49,"Needs Improvement", I91&lt;=69, "Developing", I91&lt;=84, "Achieving", I91&lt;=94, "Exceeding", I91&gt;94, "Outstanding")</f>
        <v>Needs Improvement</v>
      </c>
      <c r="L91" cm="1">
        <f t="array" ref="L91">_xlfn.IFS(K91="Needs Improvement", 0, K91="Developing", 0.02, K91= "Achieving", 0.05, K91="Exceeding",0.8, K91="Outstanding", 0.12)</f>
        <v>0</v>
      </c>
      <c r="M91" s="4">
        <f>Cleaned[[#This Row],[Salary]]*Cleaned[[#This Row],[Bonus Percentage]]</f>
        <v>0</v>
      </c>
      <c r="N91" s="8">
        <f>Cleaned[[#This Row],[Salary]]+Cleaned[[#This Row],[Bonus Payout]]</f>
        <v>101997</v>
      </c>
    </row>
    <row r="92" spans="2:14" x14ac:dyDescent="0.25">
      <c r="B92" t="s">
        <v>67</v>
      </c>
      <c r="C92" t="s">
        <v>253</v>
      </c>
      <c r="D92" t="str">
        <f>VLOOKUP(Cleaned[[#This Row],[Dept Code]], Lookup_Departments!$A$2:$B$7, 2,FALSE)</f>
        <v>Marketing</v>
      </c>
      <c r="E92" t="s">
        <v>7</v>
      </c>
      <c r="F92" s="2">
        <v>43981</v>
      </c>
      <c r="G92" t="str">
        <f ca="1">DATEDIF(Cleaned[[#This Row],[Hire Date]], TODAY(), "Y")&amp; "Years"</f>
        <v>6Years</v>
      </c>
      <c r="H92" s="4">
        <v>75023</v>
      </c>
      <c r="I92">
        <v>53</v>
      </c>
      <c r="J92" t="s">
        <v>21</v>
      </c>
      <c r="K92" t="str" cm="1">
        <f t="array" ref="K92">_xlfn.IFS(I92&lt;=49,"Needs Improvement", I92&lt;=69, "Developing", I92&lt;=84, "Achieving", I92&lt;=94, "Exceeding", I92&gt;94, "Outstanding")</f>
        <v>Developing</v>
      </c>
      <c r="L92" cm="1">
        <f t="array" ref="L92">_xlfn.IFS(K92="Needs Improvement", 0, K92="Developing", 0.02, K92= "Achieving", 0.05, K92="Exceeding",0.8, K92="Outstanding", 0.12)</f>
        <v>0.02</v>
      </c>
      <c r="M92" s="4">
        <f>Cleaned[[#This Row],[Salary]]*Cleaned[[#This Row],[Bonus Percentage]]</f>
        <v>1500.46</v>
      </c>
      <c r="N92" s="8">
        <f>Cleaned[[#This Row],[Salary]]+Cleaned[[#This Row],[Bonus Payout]]</f>
        <v>76523.460000000006</v>
      </c>
    </row>
    <row r="93" spans="2:14" x14ac:dyDescent="0.25">
      <c r="B93" t="s">
        <v>142</v>
      </c>
      <c r="C93" t="s">
        <v>294</v>
      </c>
      <c r="D93" t="str">
        <f>VLOOKUP(Cleaned[[#This Row],[Dept Code]], Lookup_Departments!$A$2:$B$7, 2,FALSE)</f>
        <v>Marketing</v>
      </c>
      <c r="E93" t="s">
        <v>7</v>
      </c>
      <c r="F93" s="2">
        <v>43996</v>
      </c>
      <c r="G93" t="str">
        <f ca="1">DATEDIF(Cleaned[[#This Row],[Hire Date]], TODAY(), "Y")&amp; "Years"</f>
        <v>6Years</v>
      </c>
      <c r="H93" s="4">
        <v>112791</v>
      </c>
      <c r="I93">
        <v>87</v>
      </c>
      <c r="J93" t="s">
        <v>21</v>
      </c>
      <c r="K93" t="str" cm="1">
        <f t="array" ref="K93">_xlfn.IFS(I93&lt;=49,"Needs Improvement", I93&lt;=69, "Developing", I93&lt;=84, "Achieving", I93&lt;=94, "Exceeding", I93&gt;94, "Outstanding")</f>
        <v>Exceeding</v>
      </c>
      <c r="L93" cm="1">
        <f t="array" ref="L93">_xlfn.IFS(K93="Needs Improvement", 0, K93="Developing", 0.02, K93= "Achieving", 0.05, K93="Exceeding",0.8, K93="Outstanding", 0.12)</f>
        <v>0.8</v>
      </c>
      <c r="M93" s="4">
        <f>Cleaned[[#This Row],[Salary]]*Cleaned[[#This Row],[Bonus Percentage]]</f>
        <v>90232.8</v>
      </c>
      <c r="N93" s="8">
        <f>Cleaned[[#This Row],[Salary]]+Cleaned[[#This Row],[Bonus Payout]]</f>
        <v>203023.8</v>
      </c>
    </row>
    <row r="94" spans="2:14" x14ac:dyDescent="0.25">
      <c r="B94" t="s">
        <v>26</v>
      </c>
      <c r="C94" t="s">
        <v>221</v>
      </c>
      <c r="D94" t="str">
        <f>VLOOKUP(Cleaned[[#This Row],[Dept Code]], Lookup_Departments!$A$2:$B$7, 2,FALSE)</f>
        <v>Marketing</v>
      </c>
      <c r="E94" t="s">
        <v>7</v>
      </c>
      <c r="F94" s="2">
        <v>44001</v>
      </c>
      <c r="G94" t="str">
        <f ca="1">DATEDIF(Cleaned[[#This Row],[Hire Date]], TODAY(), "Y")&amp; "Years"</f>
        <v>6Years</v>
      </c>
      <c r="H94" s="4">
        <v>99990</v>
      </c>
      <c r="I94">
        <v>54</v>
      </c>
      <c r="J94" t="s">
        <v>21</v>
      </c>
      <c r="K94" t="str" cm="1">
        <f t="array" ref="K94">_xlfn.IFS(I94&lt;=49,"Needs Improvement", I94&lt;=69, "Developing", I94&lt;=84, "Achieving", I94&lt;=94, "Exceeding", I94&gt;94, "Outstanding")</f>
        <v>Developing</v>
      </c>
      <c r="L94" cm="1">
        <f t="array" ref="L94">_xlfn.IFS(K94="Needs Improvement", 0, K94="Developing", 0.02, K94= "Achieving", 0.05, K94="Exceeding",0.8, K94="Outstanding", 0.12)</f>
        <v>0.02</v>
      </c>
      <c r="M94" s="4">
        <f>Cleaned[[#This Row],[Salary]]*Cleaned[[#This Row],[Bonus Percentage]]</f>
        <v>1999.8</v>
      </c>
      <c r="N94" s="8">
        <f>Cleaned[[#This Row],[Salary]]+Cleaned[[#This Row],[Bonus Payout]]</f>
        <v>101989.8</v>
      </c>
    </row>
    <row r="95" spans="2:14" x14ac:dyDescent="0.25">
      <c r="B95" t="s">
        <v>154</v>
      </c>
      <c r="C95" t="s">
        <v>253</v>
      </c>
      <c r="D95" t="str">
        <f>VLOOKUP(Cleaned[[#This Row],[Dept Code]], Lookup_Departments!$A$2:$B$7, 2,FALSE)</f>
        <v>Human Resources</v>
      </c>
      <c r="E95" t="s">
        <v>49</v>
      </c>
      <c r="F95" s="2">
        <v>44053</v>
      </c>
      <c r="G95" t="str">
        <f ca="1">DATEDIF(Cleaned[[#This Row],[Hire Date]], TODAY(), "Y")&amp; "Years"</f>
        <v>5Years</v>
      </c>
      <c r="H95" s="4">
        <v>68092</v>
      </c>
      <c r="I95">
        <v>93</v>
      </c>
      <c r="J95" t="s">
        <v>21</v>
      </c>
      <c r="K95" t="str" cm="1">
        <f t="array" ref="K95">_xlfn.IFS(I95&lt;=49,"Needs Improvement", I95&lt;=69, "Developing", I95&lt;=84, "Achieving", I95&lt;=94, "Exceeding", I95&gt;94, "Outstanding")</f>
        <v>Exceeding</v>
      </c>
      <c r="L95" cm="1">
        <f t="array" ref="L95">_xlfn.IFS(K95="Needs Improvement", 0, K95="Developing", 0.02, K95= "Achieving", 0.05, K95="Exceeding",0.8, K95="Outstanding", 0.12)</f>
        <v>0.8</v>
      </c>
      <c r="M95" s="4">
        <f>Cleaned[[#This Row],[Salary]]*Cleaned[[#This Row],[Bonus Percentage]]</f>
        <v>54473.600000000006</v>
      </c>
      <c r="N95" s="8">
        <f>Cleaned[[#This Row],[Salary]]+Cleaned[[#This Row],[Bonus Payout]]</f>
        <v>122565.6</v>
      </c>
    </row>
    <row r="96" spans="2:14" x14ac:dyDescent="0.25">
      <c r="B96" t="s">
        <v>109</v>
      </c>
      <c r="C96" t="s">
        <v>266</v>
      </c>
      <c r="D96" t="str">
        <f>VLOOKUP(Cleaned[[#This Row],[Dept Code]], Lookup_Departments!$A$2:$B$7, 2,FALSE)</f>
        <v>Information Technology</v>
      </c>
      <c r="E96" t="s">
        <v>5</v>
      </c>
      <c r="F96" s="2">
        <v>44073</v>
      </c>
      <c r="G96" t="str">
        <f ca="1">DATEDIF(Cleaned[[#This Row],[Hire Date]], TODAY(), "Y")&amp; "Years"</f>
        <v>5Years</v>
      </c>
      <c r="H96" s="4">
        <v>82633</v>
      </c>
      <c r="I96">
        <v>98</v>
      </c>
      <c r="J96" t="s">
        <v>21</v>
      </c>
      <c r="K96" t="str" cm="1">
        <f t="array" ref="K96">_xlfn.IFS(I96&lt;=49,"Needs Improvement", I96&lt;=69, "Developing", I96&lt;=84, "Achieving", I96&lt;=94, "Exceeding", I96&gt;94, "Outstanding")</f>
        <v>Outstanding</v>
      </c>
      <c r="L96" cm="1">
        <f t="array" ref="L96">_xlfn.IFS(K96="Needs Improvement", 0, K96="Developing", 0.02, K96= "Achieving", 0.05, K96="Exceeding",0.8, K96="Outstanding", 0.12)</f>
        <v>0.12</v>
      </c>
      <c r="M96" s="4">
        <f>Cleaned[[#This Row],[Salary]]*Cleaned[[#This Row],[Bonus Percentage]]</f>
        <v>9915.9599999999991</v>
      </c>
      <c r="N96" s="8">
        <f>Cleaned[[#This Row],[Salary]]+Cleaned[[#This Row],[Bonus Payout]]</f>
        <v>92548.959999999992</v>
      </c>
    </row>
    <row r="97" spans="2:14" x14ac:dyDescent="0.25">
      <c r="B97" t="s">
        <v>79</v>
      </c>
      <c r="C97" t="s">
        <v>260</v>
      </c>
      <c r="D97" t="str">
        <f>VLOOKUP(Cleaned[[#This Row],[Dept Code]], Lookup_Departments!$A$2:$B$7, 2,FALSE)</f>
        <v>Human Resources</v>
      </c>
      <c r="E97" t="s">
        <v>49</v>
      </c>
      <c r="F97" s="2">
        <v>44079</v>
      </c>
      <c r="G97" t="str">
        <f ca="1">DATEDIF(Cleaned[[#This Row],[Hire Date]], TODAY(), "Y")&amp; "Years"</f>
        <v>5Years</v>
      </c>
      <c r="H97" s="4">
        <v>114748</v>
      </c>
      <c r="I97">
        <v>33</v>
      </c>
      <c r="J97" t="s">
        <v>21</v>
      </c>
      <c r="K97" t="str" cm="1">
        <f t="array" ref="K97">_xlfn.IFS(I97&lt;=49,"Needs Improvement", I97&lt;=69, "Developing", I97&lt;=84, "Achieving", I97&lt;=94, "Exceeding", I97&gt;94, "Outstanding")</f>
        <v>Needs Improvement</v>
      </c>
      <c r="L97" cm="1">
        <f t="array" ref="L97">_xlfn.IFS(K97="Needs Improvement", 0, K97="Developing", 0.02, K97= "Achieving", 0.05, K97="Exceeding",0.8, K97="Outstanding", 0.12)</f>
        <v>0</v>
      </c>
      <c r="M97" s="4">
        <f>Cleaned[[#This Row],[Salary]]*Cleaned[[#This Row],[Bonus Percentage]]</f>
        <v>0</v>
      </c>
      <c r="N97" s="8">
        <f>Cleaned[[#This Row],[Salary]]+Cleaned[[#This Row],[Bonus Payout]]</f>
        <v>114748</v>
      </c>
    </row>
    <row r="98" spans="2:14" x14ac:dyDescent="0.25">
      <c r="B98" t="s">
        <v>124</v>
      </c>
      <c r="C98" t="s">
        <v>285</v>
      </c>
      <c r="D98" t="str">
        <f>VLOOKUP(Cleaned[[#This Row],[Dept Code]], Lookup_Departments!$A$2:$B$7, 2,FALSE)</f>
        <v>Sales</v>
      </c>
      <c r="E98" t="s">
        <v>20</v>
      </c>
      <c r="F98" s="2">
        <v>44081</v>
      </c>
      <c r="G98" t="str">
        <f ca="1">DATEDIF(Cleaned[[#This Row],[Hire Date]], TODAY(), "Y")&amp; "Years"</f>
        <v>5Years</v>
      </c>
      <c r="H98" s="4">
        <v>95292</v>
      </c>
      <c r="I98">
        <v>34</v>
      </c>
      <c r="J98" t="s">
        <v>21</v>
      </c>
      <c r="K98" t="str" cm="1">
        <f t="array" ref="K98">_xlfn.IFS(I98&lt;=49,"Needs Improvement", I98&lt;=69, "Developing", I98&lt;=84, "Achieving", I98&lt;=94, "Exceeding", I98&gt;94, "Outstanding")</f>
        <v>Needs Improvement</v>
      </c>
      <c r="L98" cm="1">
        <f t="array" ref="L98">_xlfn.IFS(K98="Needs Improvement", 0, K98="Developing", 0.02, K98= "Achieving", 0.05, K98="Exceeding",0.8, K98="Outstanding", 0.12)</f>
        <v>0</v>
      </c>
      <c r="M98" s="4">
        <f>Cleaned[[#This Row],[Salary]]*Cleaned[[#This Row],[Bonus Percentage]]</f>
        <v>0</v>
      </c>
      <c r="N98" s="8">
        <f>Cleaned[[#This Row],[Salary]]+Cleaned[[#This Row],[Bonus Payout]]</f>
        <v>95292</v>
      </c>
    </row>
    <row r="99" spans="2:14" x14ac:dyDescent="0.25">
      <c r="B99" t="s">
        <v>75</v>
      </c>
      <c r="C99" t="s">
        <v>258</v>
      </c>
      <c r="D99" t="str">
        <f>VLOOKUP(Cleaned[[#This Row],[Dept Code]], Lookup_Departments!$A$2:$B$7, 2,FALSE)</f>
        <v>Operations</v>
      </c>
      <c r="E99" t="s">
        <v>15</v>
      </c>
      <c r="F99" s="2">
        <v>44148</v>
      </c>
      <c r="G99" t="str">
        <f ca="1">DATEDIF(Cleaned[[#This Row],[Hire Date]], TODAY(), "Y")&amp; "Years"</f>
        <v>5Years</v>
      </c>
      <c r="H99" s="4">
        <v>72457</v>
      </c>
      <c r="I99">
        <v>75</v>
      </c>
      <c r="J99" t="s">
        <v>21</v>
      </c>
      <c r="K99" t="str" cm="1">
        <f t="array" ref="K99">_xlfn.IFS(I99&lt;=49,"Needs Improvement", I99&lt;=69, "Developing", I99&lt;=84, "Achieving", I99&lt;=94, "Exceeding", I99&gt;94, "Outstanding")</f>
        <v>Achieving</v>
      </c>
      <c r="L99" cm="1">
        <f t="array" ref="L99">_xlfn.IFS(K99="Needs Improvement", 0, K99="Developing", 0.02, K99= "Achieving", 0.05, K99="Exceeding",0.8, K99="Outstanding", 0.12)</f>
        <v>0.05</v>
      </c>
      <c r="M99" s="4">
        <f>Cleaned[[#This Row],[Salary]]*Cleaned[[#This Row],[Bonus Percentage]]</f>
        <v>3622.8500000000004</v>
      </c>
      <c r="N99" s="8">
        <f>Cleaned[[#This Row],[Salary]]+Cleaned[[#This Row],[Bonus Payout]]</f>
        <v>76079.850000000006</v>
      </c>
    </row>
    <row r="100" spans="2:14" x14ac:dyDescent="0.25">
      <c r="B100" t="s">
        <v>17</v>
      </c>
      <c r="C100" t="s">
        <v>215</v>
      </c>
      <c r="D100" t="str">
        <f>VLOOKUP(Cleaned[[#This Row],[Dept Code]], Lookup_Departments!$A$2:$B$7, 2,FALSE)</f>
        <v>Operations</v>
      </c>
      <c r="E100" t="s">
        <v>15</v>
      </c>
      <c r="F100" s="2">
        <v>44174</v>
      </c>
      <c r="G100" t="str">
        <f ca="1">DATEDIF(Cleaned[[#This Row],[Hire Date]], TODAY(), "Y")&amp; "Years"</f>
        <v>5Years</v>
      </c>
      <c r="H100" s="4">
        <v>68728</v>
      </c>
      <c r="I100">
        <v>45</v>
      </c>
      <c r="J100" t="s">
        <v>21</v>
      </c>
      <c r="K100" t="str" cm="1">
        <f t="array" ref="K100">_xlfn.IFS(I100&lt;=49,"Needs Improvement", I100&lt;=69, "Developing", I100&lt;=84, "Achieving", I100&lt;=94, "Exceeding", I100&gt;94, "Outstanding")</f>
        <v>Needs Improvement</v>
      </c>
      <c r="L100" cm="1">
        <f t="array" ref="L100">_xlfn.IFS(K100="Needs Improvement", 0, K100="Developing", 0.02, K100= "Achieving", 0.05, K100="Exceeding",0.8, K100="Outstanding", 0.12)</f>
        <v>0</v>
      </c>
      <c r="M100" s="4">
        <f>Cleaned[[#This Row],[Salary]]*Cleaned[[#This Row],[Bonus Percentage]]</f>
        <v>0</v>
      </c>
      <c r="N100" s="8">
        <f>Cleaned[[#This Row],[Salary]]+Cleaned[[#This Row],[Bonus Payout]]</f>
        <v>68728</v>
      </c>
    </row>
    <row r="101" spans="2:14" x14ac:dyDescent="0.25">
      <c r="B101" t="s">
        <v>73</v>
      </c>
      <c r="C101" t="s">
        <v>256</v>
      </c>
      <c r="D101" t="str">
        <f>VLOOKUP(Cleaned[[#This Row],[Dept Code]], Lookup_Departments!$A$2:$B$7, 2,FALSE)</f>
        <v>Human Resources</v>
      </c>
      <c r="E101" t="s">
        <v>49</v>
      </c>
      <c r="F101" s="2">
        <v>44189</v>
      </c>
      <c r="G101" t="str">
        <f ca="1">DATEDIF(Cleaned[[#This Row],[Hire Date]], TODAY(), "Y")&amp; "Years"</f>
        <v>5Years</v>
      </c>
      <c r="H101" s="4">
        <v>118947</v>
      </c>
      <c r="I101">
        <v>96</v>
      </c>
      <c r="J101" t="s">
        <v>21</v>
      </c>
      <c r="K101" t="str" cm="1">
        <f t="array" ref="K101">_xlfn.IFS(I101&lt;=49,"Needs Improvement", I101&lt;=69, "Developing", I101&lt;=84, "Achieving", I101&lt;=94, "Exceeding", I101&gt;94, "Outstanding")</f>
        <v>Outstanding</v>
      </c>
      <c r="L101" cm="1">
        <f t="array" ref="L101">_xlfn.IFS(K101="Needs Improvement", 0, K101="Developing", 0.02, K101= "Achieving", 0.05, K101="Exceeding",0.8, K101="Outstanding", 0.12)</f>
        <v>0.12</v>
      </c>
      <c r="M101" s="4">
        <f>Cleaned[[#This Row],[Salary]]*Cleaned[[#This Row],[Bonus Percentage]]</f>
        <v>14273.64</v>
      </c>
      <c r="N101" s="8">
        <f>Cleaned[[#This Row],[Salary]]+Cleaned[[#This Row],[Bonus Payout]]</f>
        <v>133220.64000000001</v>
      </c>
    </row>
    <row r="102" spans="2:14" x14ac:dyDescent="0.25">
      <c r="B102" t="s">
        <v>107</v>
      </c>
      <c r="C102" t="s">
        <v>278</v>
      </c>
      <c r="D102" t="str">
        <f>VLOOKUP(Cleaned[[#This Row],[Dept Code]], Lookup_Departments!$A$2:$B$7, 2,FALSE)</f>
        <v>Finance</v>
      </c>
      <c r="E102" t="s">
        <v>11</v>
      </c>
      <c r="F102" s="2">
        <v>44234</v>
      </c>
      <c r="G102" t="str">
        <f ca="1">DATEDIF(Cleaned[[#This Row],[Hire Date]], TODAY(), "Y")&amp; "Years"</f>
        <v>5Years</v>
      </c>
      <c r="H102" s="4">
        <v>72457</v>
      </c>
      <c r="I102">
        <v>68</v>
      </c>
      <c r="J102" t="s">
        <v>21</v>
      </c>
      <c r="K102" t="str" cm="1">
        <f t="array" ref="K102">_xlfn.IFS(I102&lt;=49,"Needs Improvement", I102&lt;=69, "Developing", I102&lt;=84, "Achieving", I102&lt;=94, "Exceeding", I102&gt;94, "Outstanding")</f>
        <v>Developing</v>
      </c>
      <c r="L102" cm="1">
        <f t="array" ref="L102">_xlfn.IFS(K102="Needs Improvement", 0, K102="Developing", 0.02, K102= "Achieving", 0.05, K102="Exceeding",0.8, K102="Outstanding", 0.12)</f>
        <v>0.02</v>
      </c>
      <c r="M102" s="4">
        <f>Cleaned[[#This Row],[Salary]]*Cleaned[[#This Row],[Bonus Percentage]]</f>
        <v>1449.14</v>
      </c>
      <c r="N102" s="8">
        <f>Cleaned[[#This Row],[Salary]]+Cleaned[[#This Row],[Bonus Payout]]</f>
        <v>73906.14</v>
      </c>
    </row>
    <row r="103" spans="2:14" x14ac:dyDescent="0.25">
      <c r="B103" t="s">
        <v>133</v>
      </c>
      <c r="C103" t="s">
        <v>291</v>
      </c>
      <c r="D103" t="str">
        <f>VLOOKUP(Cleaned[[#This Row],[Dept Code]], Lookup_Departments!$A$2:$B$7, 2,FALSE)</f>
        <v>Marketing</v>
      </c>
      <c r="E103" t="s">
        <v>7</v>
      </c>
      <c r="F103" s="2">
        <v>44349</v>
      </c>
      <c r="G103" t="str">
        <f ca="1">DATEDIF(Cleaned[[#This Row],[Hire Date]], TODAY(), "Y")&amp; "Years"</f>
        <v>5Years</v>
      </c>
      <c r="H103" s="4">
        <v>66688</v>
      </c>
      <c r="I103">
        <v>40</v>
      </c>
      <c r="J103" t="s">
        <v>13</v>
      </c>
      <c r="K103" t="str" cm="1">
        <f t="array" ref="K103">_xlfn.IFS(I103&lt;=49,"Needs Improvement", I103&lt;=69, "Developing", I103&lt;=84, "Achieving", I103&lt;=94, "Exceeding", I103&gt;94, "Outstanding")</f>
        <v>Needs Improvement</v>
      </c>
      <c r="L103" cm="1">
        <f t="array" ref="L103">_xlfn.IFS(K103="Needs Improvement", 0, K103="Developing", 0.02, K103= "Achieving", 0.05, K103="Exceeding",0.8, K103="Outstanding", 0.12)</f>
        <v>0</v>
      </c>
      <c r="M103" s="4">
        <f>Cleaned[[#This Row],[Salary]]*Cleaned[[#This Row],[Bonus Percentage]]</f>
        <v>0</v>
      </c>
      <c r="N103" s="8">
        <f>Cleaned[[#This Row],[Salary]]+Cleaned[[#This Row],[Bonus Payout]]</f>
        <v>66688</v>
      </c>
    </row>
    <row r="104" spans="2:14" x14ac:dyDescent="0.25">
      <c r="B104" t="s">
        <v>34</v>
      </c>
      <c r="C104" t="s">
        <v>209</v>
      </c>
      <c r="D104" t="str">
        <f>VLOOKUP(Cleaned[[#This Row],[Dept Code]], Lookup_Departments!$A$2:$B$7, 2,FALSE)</f>
        <v>Marketing</v>
      </c>
      <c r="E104" t="s">
        <v>7</v>
      </c>
      <c r="F104" s="2">
        <v>44353</v>
      </c>
      <c r="G104" t="str">
        <f ca="1">DATEDIF(Cleaned[[#This Row],[Hire Date]], TODAY(), "Y")&amp; "Years"</f>
        <v>5Years</v>
      </c>
      <c r="H104" s="4">
        <v>107871</v>
      </c>
      <c r="I104">
        <v>88</v>
      </c>
      <c r="J104" t="s">
        <v>21</v>
      </c>
      <c r="K104" t="str" cm="1">
        <f t="array" ref="K104">_xlfn.IFS(I104&lt;=49,"Needs Improvement", I104&lt;=69, "Developing", I104&lt;=84, "Achieving", I104&lt;=94, "Exceeding", I104&gt;94, "Outstanding")</f>
        <v>Exceeding</v>
      </c>
      <c r="L104" cm="1">
        <f t="array" ref="L104">_xlfn.IFS(K104="Needs Improvement", 0, K104="Developing", 0.02, K104= "Achieving", 0.05, K104="Exceeding",0.8, K104="Outstanding", 0.12)</f>
        <v>0.8</v>
      </c>
      <c r="M104" s="4">
        <f>Cleaned[[#This Row],[Salary]]*Cleaned[[#This Row],[Bonus Percentage]]</f>
        <v>86296.8</v>
      </c>
      <c r="N104" s="8">
        <f>Cleaned[[#This Row],[Salary]]+Cleaned[[#This Row],[Bonus Payout]]</f>
        <v>194167.8</v>
      </c>
    </row>
    <row r="105" spans="2:14" x14ac:dyDescent="0.25">
      <c r="B105" t="s">
        <v>25</v>
      </c>
      <c r="C105" t="s">
        <v>220</v>
      </c>
      <c r="D105" t="str">
        <f>VLOOKUP(Cleaned[[#This Row],[Dept Code]], Lookup_Departments!$A$2:$B$7, 2,FALSE)</f>
        <v>Marketing</v>
      </c>
      <c r="E105" t="s">
        <v>7</v>
      </c>
      <c r="F105" s="2">
        <v>44364</v>
      </c>
      <c r="G105" t="str">
        <f ca="1">DATEDIF(Cleaned[[#This Row],[Hire Date]], TODAY(), "Y")&amp; "Years"</f>
        <v>5Years</v>
      </c>
      <c r="H105" s="4">
        <v>61408</v>
      </c>
      <c r="I105">
        <v>48</v>
      </c>
      <c r="J105" t="s">
        <v>21</v>
      </c>
      <c r="K105" t="str" cm="1">
        <f t="array" ref="K105">_xlfn.IFS(I105&lt;=49,"Needs Improvement", I105&lt;=69, "Developing", I105&lt;=84, "Achieving", I105&lt;=94, "Exceeding", I105&gt;94, "Outstanding")</f>
        <v>Needs Improvement</v>
      </c>
      <c r="L105" cm="1">
        <f t="array" ref="L105">_xlfn.IFS(K105="Needs Improvement", 0, K105="Developing", 0.02, K105= "Achieving", 0.05, K105="Exceeding",0.8, K105="Outstanding", 0.12)</f>
        <v>0</v>
      </c>
      <c r="M105" s="4">
        <f>Cleaned[[#This Row],[Salary]]*Cleaned[[#This Row],[Bonus Percentage]]</f>
        <v>0</v>
      </c>
      <c r="N105" s="8">
        <f>Cleaned[[#This Row],[Salary]]+Cleaned[[#This Row],[Bonus Payout]]</f>
        <v>61408</v>
      </c>
    </row>
    <row r="106" spans="2:14" x14ac:dyDescent="0.25">
      <c r="B106" t="s">
        <v>171</v>
      </c>
      <c r="C106" t="s">
        <v>308</v>
      </c>
      <c r="D106" t="str">
        <f>VLOOKUP(Cleaned[[#This Row],[Dept Code]], Lookup_Departments!$A$2:$B$7, 2,FALSE)</f>
        <v>Sales</v>
      </c>
      <c r="E106" t="s">
        <v>20</v>
      </c>
      <c r="F106" s="2">
        <v>44375</v>
      </c>
      <c r="G106" t="str">
        <f ca="1">DATEDIF(Cleaned[[#This Row],[Hire Date]], TODAY(), "Y")&amp; "Years"</f>
        <v>5Years</v>
      </c>
      <c r="H106" s="4">
        <v>72457</v>
      </c>
      <c r="I106">
        <v>52</v>
      </c>
      <c r="J106" t="s">
        <v>21</v>
      </c>
      <c r="K106" t="str" cm="1">
        <f t="array" ref="K106">_xlfn.IFS(I106&lt;=49,"Needs Improvement", I106&lt;=69, "Developing", I106&lt;=84, "Achieving", I106&lt;=94, "Exceeding", I106&gt;94, "Outstanding")</f>
        <v>Developing</v>
      </c>
      <c r="L106" cm="1">
        <f t="array" ref="L106">_xlfn.IFS(K106="Needs Improvement", 0, K106="Developing", 0.02, K106= "Achieving", 0.05, K106="Exceeding",0.8, K106="Outstanding", 0.12)</f>
        <v>0.02</v>
      </c>
      <c r="M106" s="4">
        <f>Cleaned[[#This Row],[Salary]]*Cleaned[[#This Row],[Bonus Percentage]]</f>
        <v>1449.14</v>
      </c>
      <c r="N106" s="8">
        <f>Cleaned[[#This Row],[Salary]]+Cleaned[[#This Row],[Bonus Payout]]</f>
        <v>73906.14</v>
      </c>
    </row>
    <row r="107" spans="2:14" x14ac:dyDescent="0.25">
      <c r="B107" t="s">
        <v>134</v>
      </c>
      <c r="C107" t="s">
        <v>292</v>
      </c>
      <c r="D107" t="str">
        <f>VLOOKUP(Cleaned[[#This Row],[Dept Code]], Lookup_Departments!$A$2:$B$7, 2,FALSE)</f>
        <v>Information Technology</v>
      </c>
      <c r="E107" t="s">
        <v>5</v>
      </c>
      <c r="F107" s="2">
        <v>44394</v>
      </c>
      <c r="G107" t="str">
        <f ca="1">DATEDIF(Cleaned[[#This Row],[Hire Date]], TODAY(), "Y")&amp; "Years"</f>
        <v>4Years</v>
      </c>
      <c r="H107" s="4">
        <v>91672</v>
      </c>
      <c r="I107">
        <v>88</v>
      </c>
      <c r="J107" t="s">
        <v>21</v>
      </c>
      <c r="K107" t="str" cm="1">
        <f t="array" ref="K107">_xlfn.IFS(I107&lt;=49,"Needs Improvement", I107&lt;=69, "Developing", I107&lt;=84, "Achieving", I107&lt;=94, "Exceeding", I107&gt;94, "Outstanding")</f>
        <v>Exceeding</v>
      </c>
      <c r="L107" cm="1">
        <f t="array" ref="L107">_xlfn.IFS(K107="Needs Improvement", 0, K107="Developing", 0.02, K107= "Achieving", 0.05, K107="Exceeding",0.8, K107="Outstanding", 0.12)</f>
        <v>0.8</v>
      </c>
      <c r="M107" s="4">
        <f>Cleaned[[#This Row],[Salary]]*Cleaned[[#This Row],[Bonus Percentage]]</f>
        <v>73337.600000000006</v>
      </c>
      <c r="N107" s="8">
        <f>Cleaned[[#This Row],[Salary]]+Cleaned[[#This Row],[Bonus Payout]]</f>
        <v>165009.60000000001</v>
      </c>
    </row>
    <row r="108" spans="2:14" x14ac:dyDescent="0.25">
      <c r="B108" t="s">
        <v>90</v>
      </c>
      <c r="C108" t="s">
        <v>267</v>
      </c>
      <c r="D108" t="str">
        <f>VLOOKUP(Cleaned[[#This Row],[Dept Code]], Lookup_Departments!$A$2:$B$7, 2,FALSE)</f>
        <v>Human Resources</v>
      </c>
      <c r="E108" t="s">
        <v>49</v>
      </c>
      <c r="F108" s="2">
        <v>44402</v>
      </c>
      <c r="G108" t="str">
        <f ca="1">DATEDIF(Cleaned[[#This Row],[Hire Date]], TODAY(), "Y")&amp; "Years"</f>
        <v>4Years</v>
      </c>
      <c r="H108" s="4">
        <v>72457</v>
      </c>
      <c r="I108">
        <v>36</v>
      </c>
      <c r="J108" t="s">
        <v>21</v>
      </c>
      <c r="K108" t="str" cm="1">
        <f t="array" ref="K108">_xlfn.IFS(I108&lt;=49,"Needs Improvement", I108&lt;=69, "Developing", I108&lt;=84, "Achieving", I108&lt;=94, "Exceeding", I108&gt;94, "Outstanding")</f>
        <v>Needs Improvement</v>
      </c>
      <c r="L108" cm="1">
        <f t="array" ref="L108">_xlfn.IFS(K108="Needs Improvement", 0, K108="Developing", 0.02, K108= "Achieving", 0.05, K108="Exceeding",0.8, K108="Outstanding", 0.12)</f>
        <v>0</v>
      </c>
      <c r="M108" s="4">
        <f>Cleaned[[#This Row],[Salary]]*Cleaned[[#This Row],[Bonus Percentage]]</f>
        <v>0</v>
      </c>
      <c r="N108" s="8">
        <f>Cleaned[[#This Row],[Salary]]+Cleaned[[#This Row],[Bonus Payout]]</f>
        <v>72457</v>
      </c>
    </row>
    <row r="109" spans="2:14" x14ac:dyDescent="0.25">
      <c r="B109" t="s">
        <v>140</v>
      </c>
      <c r="C109" t="s">
        <v>264</v>
      </c>
      <c r="D109" t="str">
        <f>VLOOKUP(Cleaned[[#This Row],[Dept Code]], Lookup_Departments!$A$2:$B$7, 2,FALSE)</f>
        <v>Operations</v>
      </c>
      <c r="E109" t="s">
        <v>15</v>
      </c>
      <c r="F109" s="2">
        <v>44421</v>
      </c>
      <c r="G109" t="str">
        <f ca="1">DATEDIF(Cleaned[[#This Row],[Hire Date]], TODAY(), "Y")&amp; "Years"</f>
        <v>4Years</v>
      </c>
      <c r="H109" s="4">
        <v>109121</v>
      </c>
      <c r="I109">
        <v>72</v>
      </c>
      <c r="J109" t="s">
        <v>21</v>
      </c>
      <c r="K109" t="str" cm="1">
        <f t="array" ref="K109">_xlfn.IFS(I109&lt;=49,"Needs Improvement", I109&lt;=69, "Developing", I109&lt;=84, "Achieving", I109&lt;=94, "Exceeding", I109&gt;94, "Outstanding")</f>
        <v>Achieving</v>
      </c>
      <c r="L109" cm="1">
        <f t="array" ref="L109">_xlfn.IFS(K109="Needs Improvement", 0, K109="Developing", 0.02, K109= "Achieving", 0.05, K109="Exceeding",0.8, K109="Outstanding", 0.12)</f>
        <v>0.05</v>
      </c>
      <c r="M109" s="4">
        <f>Cleaned[[#This Row],[Salary]]*Cleaned[[#This Row],[Bonus Percentage]]</f>
        <v>5456.05</v>
      </c>
      <c r="N109" s="8">
        <f>Cleaned[[#This Row],[Salary]]+Cleaned[[#This Row],[Bonus Payout]]</f>
        <v>114577.05</v>
      </c>
    </row>
    <row r="110" spans="2:14" x14ac:dyDescent="0.25">
      <c r="B110" t="s">
        <v>110</v>
      </c>
      <c r="C110" t="s">
        <v>280</v>
      </c>
      <c r="D110" t="str">
        <f>VLOOKUP(Cleaned[[#This Row],[Dept Code]], Lookup_Departments!$A$2:$B$7, 2,FALSE)</f>
        <v>Operations</v>
      </c>
      <c r="E110" t="s">
        <v>15</v>
      </c>
      <c r="F110" s="2">
        <v>44422</v>
      </c>
      <c r="G110" t="str">
        <f ca="1">DATEDIF(Cleaned[[#This Row],[Hire Date]], TODAY(), "Y")&amp; "Years"</f>
        <v>4Years</v>
      </c>
      <c r="H110" s="4">
        <v>46508</v>
      </c>
      <c r="I110">
        <v>34</v>
      </c>
      <c r="J110" t="s">
        <v>21</v>
      </c>
      <c r="K110" t="str" cm="1">
        <f t="array" ref="K110">_xlfn.IFS(I110&lt;=49,"Needs Improvement", I110&lt;=69, "Developing", I110&lt;=84, "Achieving", I110&lt;=94, "Exceeding", I110&gt;94, "Outstanding")</f>
        <v>Needs Improvement</v>
      </c>
      <c r="L110" cm="1">
        <f t="array" ref="L110">_xlfn.IFS(K110="Needs Improvement", 0, K110="Developing", 0.02, K110= "Achieving", 0.05, K110="Exceeding",0.8, K110="Outstanding", 0.12)</f>
        <v>0</v>
      </c>
      <c r="M110" s="4">
        <f>Cleaned[[#This Row],[Salary]]*Cleaned[[#This Row],[Bonus Percentage]]</f>
        <v>0</v>
      </c>
      <c r="N110" s="8">
        <f>Cleaned[[#This Row],[Salary]]+Cleaned[[#This Row],[Bonus Payout]]</f>
        <v>46508</v>
      </c>
    </row>
    <row r="111" spans="2:14" x14ac:dyDescent="0.25">
      <c r="B111" t="s">
        <v>65</v>
      </c>
      <c r="C111" t="s">
        <v>251</v>
      </c>
      <c r="D111" t="str">
        <f>VLOOKUP(Cleaned[[#This Row],[Dept Code]], Lookup_Departments!$A$2:$B$7, 2,FALSE)</f>
        <v>Operations</v>
      </c>
      <c r="E111" t="s">
        <v>15</v>
      </c>
      <c r="F111" s="2">
        <v>44437</v>
      </c>
      <c r="G111" t="str">
        <f ca="1">DATEDIF(Cleaned[[#This Row],[Hire Date]], TODAY(), "Y")&amp; "Years"</f>
        <v>4Years</v>
      </c>
      <c r="H111" s="4">
        <v>99935</v>
      </c>
      <c r="I111">
        <v>84</v>
      </c>
      <c r="J111" t="s">
        <v>60</v>
      </c>
      <c r="K111" t="str" cm="1">
        <f t="array" ref="K111">_xlfn.IFS(I111&lt;=49,"Needs Improvement", I111&lt;=69, "Developing", I111&lt;=84, "Achieving", I111&lt;=94, "Exceeding", I111&gt;94, "Outstanding")</f>
        <v>Achieving</v>
      </c>
      <c r="L111" cm="1">
        <f t="array" ref="L111">_xlfn.IFS(K111="Needs Improvement", 0, K111="Developing", 0.02, K111= "Achieving", 0.05, K111="Exceeding",0.8, K111="Outstanding", 0.12)</f>
        <v>0.05</v>
      </c>
      <c r="M111" s="4">
        <f>Cleaned[[#This Row],[Salary]]*Cleaned[[#This Row],[Bonus Percentage]]</f>
        <v>4996.75</v>
      </c>
      <c r="N111" s="8">
        <f>Cleaned[[#This Row],[Salary]]+Cleaned[[#This Row],[Bonus Payout]]</f>
        <v>104931.75</v>
      </c>
    </row>
    <row r="112" spans="2:14" x14ac:dyDescent="0.25">
      <c r="B112" t="s">
        <v>168</v>
      </c>
      <c r="C112" t="s">
        <v>306</v>
      </c>
      <c r="D112" t="str">
        <f>VLOOKUP(Cleaned[[#This Row],[Dept Code]], Lookup_Departments!$A$2:$B$7, 2,FALSE)</f>
        <v>Marketing</v>
      </c>
      <c r="E112" t="s">
        <v>7</v>
      </c>
      <c r="F112" s="2">
        <v>44437</v>
      </c>
      <c r="G112" t="str">
        <f ca="1">DATEDIF(Cleaned[[#This Row],[Hire Date]], TODAY(), "Y")&amp; "Years"</f>
        <v>4Years</v>
      </c>
      <c r="H112" s="4">
        <v>83007</v>
      </c>
      <c r="I112">
        <v>82</v>
      </c>
      <c r="J112" t="s">
        <v>21</v>
      </c>
      <c r="K112" t="str" cm="1">
        <f t="array" ref="K112">_xlfn.IFS(I112&lt;=49,"Needs Improvement", I112&lt;=69, "Developing", I112&lt;=84, "Achieving", I112&lt;=94, "Exceeding", I112&gt;94, "Outstanding")</f>
        <v>Achieving</v>
      </c>
      <c r="L112" cm="1">
        <f t="array" ref="L112">_xlfn.IFS(K112="Needs Improvement", 0, K112="Developing", 0.02, K112= "Achieving", 0.05, K112="Exceeding",0.8, K112="Outstanding", 0.12)</f>
        <v>0.05</v>
      </c>
      <c r="M112" s="4">
        <f>Cleaned[[#This Row],[Salary]]*Cleaned[[#This Row],[Bonus Percentage]]</f>
        <v>4150.3500000000004</v>
      </c>
      <c r="N112" s="8">
        <f>Cleaned[[#This Row],[Salary]]+Cleaned[[#This Row],[Bonus Payout]]</f>
        <v>87157.35</v>
      </c>
    </row>
    <row r="113" spans="2:14" x14ac:dyDescent="0.25">
      <c r="B113" t="s">
        <v>100</v>
      </c>
      <c r="C113" t="s">
        <v>218</v>
      </c>
      <c r="D113" t="str">
        <f>VLOOKUP(Cleaned[[#This Row],[Dept Code]], Lookup_Departments!$A$2:$B$7, 2,FALSE)</f>
        <v>Sales</v>
      </c>
      <c r="E113" t="s">
        <v>20</v>
      </c>
      <c r="F113" s="2">
        <v>44446</v>
      </c>
      <c r="G113" t="str">
        <f ca="1">DATEDIF(Cleaned[[#This Row],[Hire Date]], TODAY(), "Y")&amp; "Years"</f>
        <v>4Years</v>
      </c>
      <c r="H113" s="4">
        <v>70359</v>
      </c>
      <c r="I113">
        <v>74</v>
      </c>
      <c r="J113" t="s">
        <v>13</v>
      </c>
      <c r="K113" t="str" cm="1">
        <f t="array" ref="K113">_xlfn.IFS(I113&lt;=49,"Needs Improvement", I113&lt;=69, "Developing", I113&lt;=84, "Achieving", I113&lt;=94, "Exceeding", I113&gt;94, "Outstanding")</f>
        <v>Achieving</v>
      </c>
      <c r="L113" cm="1">
        <f t="array" ref="L113">_xlfn.IFS(K113="Needs Improvement", 0, K113="Developing", 0.02, K113= "Achieving", 0.05, K113="Exceeding",0.8, K113="Outstanding", 0.12)</f>
        <v>0.05</v>
      </c>
      <c r="M113" s="4">
        <f>Cleaned[[#This Row],[Salary]]*Cleaned[[#This Row],[Bonus Percentage]]</f>
        <v>3517.9500000000003</v>
      </c>
      <c r="N113" s="8">
        <f>Cleaned[[#This Row],[Salary]]+Cleaned[[#This Row],[Bonus Payout]]</f>
        <v>73876.95</v>
      </c>
    </row>
    <row r="114" spans="2:14" x14ac:dyDescent="0.25">
      <c r="B114" t="s">
        <v>123</v>
      </c>
      <c r="C114" t="s">
        <v>279</v>
      </c>
      <c r="D114" t="str">
        <f>VLOOKUP(Cleaned[[#This Row],[Dept Code]], Lookup_Departments!$A$2:$B$7, 2,FALSE)</f>
        <v>Information Technology</v>
      </c>
      <c r="E114" t="s">
        <v>5</v>
      </c>
      <c r="F114" s="2">
        <v>44482</v>
      </c>
      <c r="G114" t="str">
        <f ca="1">DATEDIF(Cleaned[[#This Row],[Hire Date]], TODAY(), "Y")&amp; "Years"</f>
        <v>4Years</v>
      </c>
      <c r="H114" s="4">
        <v>73087</v>
      </c>
      <c r="I114">
        <v>69</v>
      </c>
      <c r="J114" t="s">
        <v>21</v>
      </c>
      <c r="K114" t="str" cm="1">
        <f t="array" ref="K114">_xlfn.IFS(I114&lt;=49,"Needs Improvement", I114&lt;=69, "Developing", I114&lt;=84, "Achieving", I114&lt;=94, "Exceeding", I114&gt;94, "Outstanding")</f>
        <v>Developing</v>
      </c>
      <c r="L114" cm="1">
        <f t="array" ref="L114">_xlfn.IFS(K114="Needs Improvement", 0, K114="Developing", 0.02, K114= "Achieving", 0.05, K114="Exceeding",0.8, K114="Outstanding", 0.12)</f>
        <v>0.02</v>
      </c>
      <c r="M114" s="4">
        <f>Cleaned[[#This Row],[Salary]]*Cleaned[[#This Row],[Bonus Percentage]]</f>
        <v>1461.74</v>
      </c>
      <c r="N114" s="8">
        <f>Cleaned[[#This Row],[Salary]]+Cleaned[[#This Row],[Bonus Payout]]</f>
        <v>74548.740000000005</v>
      </c>
    </row>
    <row r="115" spans="2:14" x14ac:dyDescent="0.25">
      <c r="B115" t="s">
        <v>151</v>
      </c>
      <c r="C115" t="s">
        <v>241</v>
      </c>
      <c r="D115" t="str">
        <f>VLOOKUP(Cleaned[[#This Row],[Dept Code]], Lookup_Departments!$A$2:$B$7, 2,FALSE)</f>
        <v>Information Technology</v>
      </c>
      <c r="E115" t="s">
        <v>5</v>
      </c>
      <c r="F115" s="2">
        <v>44493</v>
      </c>
      <c r="G115" t="str">
        <f ca="1">DATEDIF(Cleaned[[#This Row],[Hire Date]], TODAY(), "Y")&amp; "Years"</f>
        <v>4Years</v>
      </c>
      <c r="H115" s="4">
        <v>72457</v>
      </c>
      <c r="I115">
        <v>69</v>
      </c>
      <c r="J115" t="s">
        <v>13</v>
      </c>
      <c r="K115" t="str" cm="1">
        <f t="array" ref="K115">_xlfn.IFS(I115&lt;=49,"Needs Improvement", I115&lt;=69, "Developing", I115&lt;=84, "Achieving", I115&lt;=94, "Exceeding", I115&gt;94, "Outstanding")</f>
        <v>Developing</v>
      </c>
      <c r="L115" cm="1">
        <f t="array" ref="L115">_xlfn.IFS(K115="Needs Improvement", 0, K115="Developing", 0.02, K115= "Achieving", 0.05, K115="Exceeding",0.8, K115="Outstanding", 0.12)</f>
        <v>0.02</v>
      </c>
      <c r="M115" s="4">
        <f>Cleaned[[#This Row],[Salary]]*Cleaned[[#This Row],[Bonus Percentage]]</f>
        <v>1449.14</v>
      </c>
      <c r="N115" s="8">
        <f>Cleaned[[#This Row],[Salary]]+Cleaned[[#This Row],[Bonus Payout]]</f>
        <v>73906.14</v>
      </c>
    </row>
    <row r="116" spans="2:14" x14ac:dyDescent="0.25">
      <c r="B116" t="s">
        <v>150</v>
      </c>
      <c r="C116" t="s">
        <v>299</v>
      </c>
      <c r="D116" t="str">
        <f>VLOOKUP(Cleaned[[#This Row],[Dept Code]], Lookup_Departments!$A$2:$B$7, 2,FALSE)</f>
        <v>Sales</v>
      </c>
      <c r="E116" t="s">
        <v>20</v>
      </c>
      <c r="F116" s="2">
        <v>44500</v>
      </c>
      <c r="G116" t="str">
        <f ca="1">DATEDIF(Cleaned[[#This Row],[Hire Date]], TODAY(), "Y")&amp; "Years"</f>
        <v>4Years</v>
      </c>
      <c r="H116" s="4">
        <v>72457</v>
      </c>
      <c r="I116">
        <v>49</v>
      </c>
      <c r="J116" t="s">
        <v>21</v>
      </c>
      <c r="K116" t="str" cm="1">
        <f t="array" ref="K116">_xlfn.IFS(I116&lt;=49,"Needs Improvement", I116&lt;=69, "Developing", I116&lt;=84, "Achieving", I116&lt;=94, "Exceeding", I116&gt;94, "Outstanding")</f>
        <v>Needs Improvement</v>
      </c>
      <c r="L116" cm="1">
        <f t="array" ref="L116">_xlfn.IFS(K116="Needs Improvement", 0, K116="Developing", 0.02, K116= "Achieving", 0.05, K116="Exceeding",0.8, K116="Outstanding", 0.12)</f>
        <v>0</v>
      </c>
      <c r="M116" s="4">
        <f>Cleaned[[#This Row],[Salary]]*Cleaned[[#This Row],[Bonus Percentage]]</f>
        <v>0</v>
      </c>
      <c r="N116" s="8">
        <f>Cleaned[[#This Row],[Salary]]+Cleaned[[#This Row],[Bonus Payout]]</f>
        <v>72457</v>
      </c>
    </row>
    <row r="117" spans="2:14" x14ac:dyDescent="0.25">
      <c r="B117" t="s">
        <v>48</v>
      </c>
      <c r="C117" t="s">
        <v>238</v>
      </c>
      <c r="D117" t="str">
        <f>VLOOKUP(Cleaned[[#This Row],[Dept Code]], Lookup_Departments!$A$2:$B$7, 2,FALSE)</f>
        <v>Human Resources</v>
      </c>
      <c r="E117" t="s">
        <v>49</v>
      </c>
      <c r="F117" s="2">
        <v>44578</v>
      </c>
      <c r="G117" t="str">
        <f ca="1">DATEDIF(Cleaned[[#This Row],[Hire Date]], TODAY(), "Y")&amp; "Years"</f>
        <v>4Years</v>
      </c>
      <c r="H117" s="4">
        <v>59899</v>
      </c>
      <c r="I117">
        <v>78</v>
      </c>
      <c r="J117" t="s">
        <v>21</v>
      </c>
      <c r="K117" t="str" cm="1">
        <f t="array" ref="K117">_xlfn.IFS(I117&lt;=49,"Needs Improvement", I117&lt;=69, "Developing", I117&lt;=84, "Achieving", I117&lt;=94, "Exceeding", I117&gt;94, "Outstanding")</f>
        <v>Achieving</v>
      </c>
      <c r="L117" cm="1">
        <f t="array" ref="L117">_xlfn.IFS(K117="Needs Improvement", 0, K117="Developing", 0.02, K117= "Achieving", 0.05, K117="Exceeding",0.8, K117="Outstanding", 0.12)</f>
        <v>0.05</v>
      </c>
      <c r="M117" s="4">
        <f>Cleaned[[#This Row],[Salary]]*Cleaned[[#This Row],[Bonus Percentage]]</f>
        <v>2994.9500000000003</v>
      </c>
      <c r="N117" s="8">
        <f>Cleaned[[#This Row],[Salary]]+Cleaned[[#This Row],[Bonus Payout]]</f>
        <v>62893.95</v>
      </c>
    </row>
    <row r="118" spans="2:14" x14ac:dyDescent="0.25">
      <c r="B118" t="s">
        <v>69</v>
      </c>
      <c r="C118" t="s">
        <v>254</v>
      </c>
      <c r="D118" t="str">
        <f>VLOOKUP(Cleaned[[#This Row],[Dept Code]], Lookup_Departments!$A$2:$B$7, 2,FALSE)</f>
        <v>Human Resources</v>
      </c>
      <c r="E118" t="s">
        <v>49</v>
      </c>
      <c r="F118" s="2">
        <v>44612</v>
      </c>
      <c r="G118" t="str">
        <f ca="1">DATEDIF(Cleaned[[#This Row],[Hire Date]], TODAY(), "Y")&amp; "Years"</f>
        <v>4Years</v>
      </c>
      <c r="H118" s="4">
        <v>93290</v>
      </c>
      <c r="I118">
        <v>53</v>
      </c>
      <c r="J118" t="s">
        <v>21</v>
      </c>
      <c r="K118" t="str" cm="1">
        <f t="array" ref="K118">_xlfn.IFS(I118&lt;=49,"Needs Improvement", I118&lt;=69, "Developing", I118&lt;=84, "Achieving", I118&lt;=94, "Exceeding", I118&gt;94, "Outstanding")</f>
        <v>Developing</v>
      </c>
      <c r="L118" cm="1">
        <f t="array" ref="L118">_xlfn.IFS(K118="Needs Improvement", 0, K118="Developing", 0.02, K118= "Achieving", 0.05, K118="Exceeding",0.8, K118="Outstanding", 0.12)</f>
        <v>0.02</v>
      </c>
      <c r="M118" s="4">
        <f>Cleaned[[#This Row],[Salary]]*Cleaned[[#This Row],[Bonus Percentage]]</f>
        <v>1865.8</v>
      </c>
      <c r="N118" s="8">
        <f>Cleaned[[#This Row],[Salary]]+Cleaned[[#This Row],[Bonus Payout]]</f>
        <v>95155.8</v>
      </c>
    </row>
    <row r="119" spans="2:14" x14ac:dyDescent="0.25">
      <c r="B119" t="s">
        <v>166</v>
      </c>
      <c r="C119" t="s">
        <v>305</v>
      </c>
      <c r="D119" t="str">
        <f>VLOOKUP(Cleaned[[#This Row],[Dept Code]], Lookup_Departments!$A$2:$B$7, 2,FALSE)</f>
        <v>Operations</v>
      </c>
      <c r="E119" t="s">
        <v>15</v>
      </c>
      <c r="F119" s="2">
        <v>44639</v>
      </c>
      <c r="G119" t="str">
        <f ca="1">DATEDIF(Cleaned[[#This Row],[Hire Date]], TODAY(), "Y")&amp; "Years"</f>
        <v>4Years</v>
      </c>
      <c r="H119" s="4">
        <v>108395</v>
      </c>
      <c r="I119">
        <v>78</v>
      </c>
      <c r="J119" t="s">
        <v>13</v>
      </c>
      <c r="K119" t="str" cm="1">
        <f t="array" ref="K119">_xlfn.IFS(I119&lt;=49,"Needs Improvement", I119&lt;=69, "Developing", I119&lt;=84, "Achieving", I119&lt;=94, "Exceeding", I119&gt;94, "Outstanding")</f>
        <v>Achieving</v>
      </c>
      <c r="L119" cm="1">
        <f t="array" ref="L119">_xlfn.IFS(K119="Needs Improvement", 0, K119="Developing", 0.02, K119= "Achieving", 0.05, K119="Exceeding",0.8, K119="Outstanding", 0.12)</f>
        <v>0.05</v>
      </c>
      <c r="M119" s="4">
        <f>Cleaned[[#This Row],[Salary]]*Cleaned[[#This Row],[Bonus Percentage]]</f>
        <v>5419.75</v>
      </c>
      <c r="N119" s="8">
        <f>Cleaned[[#This Row],[Salary]]+Cleaned[[#This Row],[Bonus Payout]]</f>
        <v>113814.75</v>
      </c>
    </row>
    <row r="120" spans="2:14" x14ac:dyDescent="0.25">
      <c r="B120" t="s">
        <v>161</v>
      </c>
      <c r="C120" t="s">
        <v>211</v>
      </c>
      <c r="D120" t="str">
        <f>VLOOKUP(Cleaned[[#This Row],[Dept Code]], Lookup_Departments!$A$2:$B$7, 2,FALSE)</f>
        <v>Human Resources</v>
      </c>
      <c r="E120" t="s">
        <v>49</v>
      </c>
      <c r="F120" s="2">
        <v>44643</v>
      </c>
      <c r="G120" t="str">
        <f ca="1">DATEDIF(Cleaned[[#This Row],[Hire Date]], TODAY(), "Y")&amp; "Years"</f>
        <v>4Years</v>
      </c>
      <c r="H120" s="4">
        <v>111920</v>
      </c>
      <c r="I120">
        <v>90</v>
      </c>
      <c r="J120" t="s">
        <v>13</v>
      </c>
      <c r="K120" t="str" cm="1">
        <f t="array" ref="K120">_xlfn.IFS(I120&lt;=49,"Needs Improvement", I120&lt;=69, "Developing", I120&lt;=84, "Achieving", I120&lt;=94, "Exceeding", I120&gt;94, "Outstanding")</f>
        <v>Exceeding</v>
      </c>
      <c r="L120" cm="1">
        <f t="array" ref="L120">_xlfn.IFS(K120="Needs Improvement", 0, K120="Developing", 0.02, K120= "Achieving", 0.05, K120="Exceeding",0.8, K120="Outstanding", 0.12)</f>
        <v>0.8</v>
      </c>
      <c r="M120" s="4">
        <f>Cleaned[[#This Row],[Salary]]*Cleaned[[#This Row],[Bonus Percentage]]</f>
        <v>89536</v>
      </c>
      <c r="N120" s="8">
        <f>Cleaned[[#This Row],[Salary]]+Cleaned[[#This Row],[Bonus Payout]]</f>
        <v>201456</v>
      </c>
    </row>
    <row r="121" spans="2:14" x14ac:dyDescent="0.25">
      <c r="B121" t="s">
        <v>156</v>
      </c>
      <c r="C121" t="s">
        <v>233</v>
      </c>
      <c r="D121" t="str">
        <f>VLOOKUP(Cleaned[[#This Row],[Dept Code]], Lookup_Departments!$A$2:$B$7, 2,FALSE)</f>
        <v>Marketing</v>
      </c>
      <c r="E121" t="s">
        <v>7</v>
      </c>
      <c r="F121" s="2">
        <v>44653</v>
      </c>
      <c r="G121" t="str">
        <f ca="1">DATEDIF(Cleaned[[#This Row],[Hire Date]], TODAY(), "Y")&amp; "Years"</f>
        <v>4Years</v>
      </c>
      <c r="H121" s="4">
        <v>88155</v>
      </c>
      <c r="I121">
        <v>68</v>
      </c>
      <c r="J121" t="s">
        <v>21</v>
      </c>
      <c r="K121" t="str" cm="1">
        <f t="array" ref="K121">_xlfn.IFS(I121&lt;=49,"Needs Improvement", I121&lt;=69, "Developing", I121&lt;=84, "Achieving", I121&lt;=94, "Exceeding", I121&gt;94, "Outstanding")</f>
        <v>Developing</v>
      </c>
      <c r="L121" cm="1">
        <f t="array" ref="L121">_xlfn.IFS(K121="Needs Improvement", 0, K121="Developing", 0.02, K121= "Achieving", 0.05, K121="Exceeding",0.8, K121="Outstanding", 0.12)</f>
        <v>0.02</v>
      </c>
      <c r="M121" s="4">
        <f>Cleaned[[#This Row],[Salary]]*Cleaned[[#This Row],[Bonus Percentage]]</f>
        <v>1763.1000000000001</v>
      </c>
      <c r="N121" s="8">
        <f>Cleaned[[#This Row],[Salary]]+Cleaned[[#This Row],[Bonus Payout]]</f>
        <v>89918.1</v>
      </c>
    </row>
    <row r="122" spans="2:14" x14ac:dyDescent="0.25">
      <c r="B122" t="s">
        <v>6</v>
      </c>
      <c r="C122" t="s">
        <v>209</v>
      </c>
      <c r="D122" t="str">
        <f>VLOOKUP(Cleaned[[#This Row],[Dept Code]], Lookup_Departments!$A$2:$B$7, 2,FALSE)</f>
        <v>Marketing</v>
      </c>
      <c r="E122" t="s">
        <v>7</v>
      </c>
      <c r="F122" s="2">
        <v>44659</v>
      </c>
      <c r="G122" t="str">
        <f ca="1">DATEDIF(Cleaned[[#This Row],[Hire Date]], TODAY(), "Y")&amp; "Years"</f>
        <v>4Years</v>
      </c>
      <c r="H122" s="4">
        <v>112673</v>
      </c>
      <c r="I122">
        <v>54</v>
      </c>
      <c r="J122" t="s">
        <v>21</v>
      </c>
      <c r="K122" t="str" cm="1">
        <f t="array" ref="K122">_xlfn.IFS(I122&lt;=49,"Needs Improvement", I122&lt;=69, "Developing", I122&lt;=84, "Achieving", I122&lt;=94, "Exceeding", I122&gt;94, "Outstanding")</f>
        <v>Developing</v>
      </c>
      <c r="L122" cm="1">
        <f t="array" ref="L122">_xlfn.IFS(K122="Needs Improvement", 0, K122="Developing", 0.02, K122= "Achieving", 0.05, K122="Exceeding",0.8, K122="Outstanding", 0.12)</f>
        <v>0.02</v>
      </c>
      <c r="M122" s="4">
        <f>Cleaned[[#This Row],[Salary]]*Cleaned[[#This Row],[Bonus Percentage]]</f>
        <v>2253.46</v>
      </c>
      <c r="N122" s="8">
        <f>Cleaned[[#This Row],[Salary]]+Cleaned[[#This Row],[Bonus Payout]]</f>
        <v>114926.46</v>
      </c>
    </row>
    <row r="123" spans="2:14" x14ac:dyDescent="0.25">
      <c r="B123" t="s">
        <v>146</v>
      </c>
      <c r="C123" t="s">
        <v>296</v>
      </c>
      <c r="D123" t="str">
        <f>VLOOKUP(Cleaned[[#This Row],[Dept Code]], Lookup_Departments!$A$2:$B$7, 2,FALSE)</f>
        <v>Information Technology</v>
      </c>
      <c r="E123" t="s">
        <v>5</v>
      </c>
      <c r="F123" s="2">
        <v>44674</v>
      </c>
      <c r="G123" t="str">
        <f ca="1">DATEDIF(Cleaned[[#This Row],[Hire Date]], TODAY(), "Y")&amp; "Years"</f>
        <v>4Years</v>
      </c>
      <c r="H123" s="4">
        <v>77819</v>
      </c>
      <c r="I123">
        <v>79</v>
      </c>
      <c r="J123" t="s">
        <v>21</v>
      </c>
      <c r="K123" t="str" cm="1">
        <f t="array" ref="K123">_xlfn.IFS(I123&lt;=49,"Needs Improvement", I123&lt;=69, "Developing", I123&lt;=84, "Achieving", I123&lt;=94, "Exceeding", I123&gt;94, "Outstanding")</f>
        <v>Achieving</v>
      </c>
      <c r="L123" cm="1">
        <f t="array" ref="L123">_xlfn.IFS(K123="Needs Improvement", 0, K123="Developing", 0.02, K123= "Achieving", 0.05, K123="Exceeding",0.8, K123="Outstanding", 0.12)</f>
        <v>0.05</v>
      </c>
      <c r="M123" s="4">
        <f>Cleaned[[#This Row],[Salary]]*Cleaned[[#This Row],[Bonus Percentage]]</f>
        <v>3890.9500000000003</v>
      </c>
      <c r="N123" s="8">
        <f>Cleaned[[#This Row],[Salary]]+Cleaned[[#This Row],[Bonus Payout]]</f>
        <v>81709.95</v>
      </c>
    </row>
    <row r="124" spans="2:14" x14ac:dyDescent="0.25">
      <c r="B124" t="s">
        <v>184</v>
      </c>
      <c r="C124" t="s">
        <v>316</v>
      </c>
      <c r="D124" t="str">
        <f>VLOOKUP(Cleaned[[#This Row],[Dept Code]], Lookup_Departments!$A$2:$B$7, 2,FALSE)</f>
        <v>Operations</v>
      </c>
      <c r="E124" t="s">
        <v>15</v>
      </c>
      <c r="F124" s="2">
        <v>44711</v>
      </c>
      <c r="G124" t="str">
        <f ca="1">DATEDIF(Cleaned[[#This Row],[Hire Date]], TODAY(), "Y")&amp; "Years"</f>
        <v>4Years</v>
      </c>
      <c r="H124" s="4">
        <v>47794</v>
      </c>
      <c r="I124">
        <v>73</v>
      </c>
      <c r="J124" t="s">
        <v>13</v>
      </c>
      <c r="K124" t="str" cm="1">
        <f t="array" ref="K124">_xlfn.IFS(I124&lt;=49,"Needs Improvement", I124&lt;=69, "Developing", I124&lt;=84, "Achieving", I124&lt;=94, "Exceeding", I124&gt;94, "Outstanding")</f>
        <v>Achieving</v>
      </c>
      <c r="L124" cm="1">
        <f t="array" ref="L124">_xlfn.IFS(K124="Needs Improvement", 0, K124="Developing", 0.02, K124= "Achieving", 0.05, K124="Exceeding",0.8, K124="Outstanding", 0.12)</f>
        <v>0.05</v>
      </c>
      <c r="M124" s="4">
        <f>Cleaned[[#This Row],[Salary]]*Cleaned[[#This Row],[Bonus Percentage]]</f>
        <v>2389.7000000000003</v>
      </c>
      <c r="N124" s="8">
        <f>Cleaned[[#This Row],[Salary]]+Cleaned[[#This Row],[Bonus Payout]]</f>
        <v>50183.7</v>
      </c>
    </row>
    <row r="125" spans="2:14" x14ac:dyDescent="0.25">
      <c r="B125" t="s">
        <v>37</v>
      </c>
      <c r="C125" t="s">
        <v>231</v>
      </c>
      <c r="D125" t="str">
        <f>VLOOKUP(Cleaned[[#This Row],[Dept Code]], Lookup_Departments!$A$2:$B$7, 2,FALSE)</f>
        <v>Sales</v>
      </c>
      <c r="E125" t="s">
        <v>20</v>
      </c>
      <c r="F125" s="2">
        <v>44728</v>
      </c>
      <c r="G125" t="str">
        <f ca="1">DATEDIF(Cleaned[[#This Row],[Hire Date]], TODAY(), "Y")&amp; "Years"</f>
        <v>4Years</v>
      </c>
      <c r="H125" s="4">
        <v>68655</v>
      </c>
      <c r="I125">
        <v>32</v>
      </c>
      <c r="J125" t="s">
        <v>21</v>
      </c>
      <c r="K125" t="str" cm="1">
        <f t="array" ref="K125">_xlfn.IFS(I125&lt;=49,"Needs Improvement", I125&lt;=69, "Developing", I125&lt;=84, "Achieving", I125&lt;=94, "Exceeding", I125&gt;94, "Outstanding")</f>
        <v>Needs Improvement</v>
      </c>
      <c r="L125" cm="1">
        <f t="array" ref="L125">_xlfn.IFS(K125="Needs Improvement", 0, K125="Developing", 0.02, K125= "Achieving", 0.05, K125="Exceeding",0.8, K125="Outstanding", 0.12)</f>
        <v>0</v>
      </c>
      <c r="M125" s="4">
        <f>Cleaned[[#This Row],[Salary]]*Cleaned[[#This Row],[Bonus Percentage]]</f>
        <v>0</v>
      </c>
      <c r="N125" s="8">
        <f>Cleaned[[#This Row],[Salary]]+Cleaned[[#This Row],[Bonus Payout]]</f>
        <v>68655</v>
      </c>
    </row>
    <row r="126" spans="2:14" x14ac:dyDescent="0.25">
      <c r="B126" t="s">
        <v>53</v>
      </c>
      <c r="C126" t="s">
        <v>241</v>
      </c>
      <c r="D126" t="str">
        <f>VLOOKUP(Cleaned[[#This Row],[Dept Code]], Lookup_Departments!$A$2:$B$7, 2,FALSE)</f>
        <v>Sales</v>
      </c>
      <c r="E126" t="s">
        <v>20</v>
      </c>
      <c r="F126" s="2">
        <v>44741</v>
      </c>
      <c r="G126" t="str">
        <f ca="1">DATEDIF(Cleaned[[#This Row],[Hire Date]], TODAY(), "Y")&amp; "Years"</f>
        <v>4Years</v>
      </c>
      <c r="H126" s="4">
        <v>69219</v>
      </c>
      <c r="I126">
        <v>93</v>
      </c>
      <c r="J126" t="s">
        <v>21</v>
      </c>
      <c r="K126" t="str" cm="1">
        <f t="array" ref="K126">_xlfn.IFS(I126&lt;=49,"Needs Improvement", I126&lt;=69, "Developing", I126&lt;=84, "Achieving", I126&lt;=94, "Exceeding", I126&gt;94, "Outstanding")</f>
        <v>Exceeding</v>
      </c>
      <c r="L126" cm="1">
        <f t="array" ref="L126">_xlfn.IFS(K126="Needs Improvement", 0, K126="Developing", 0.02, K126= "Achieving", 0.05, K126="Exceeding",0.8, K126="Outstanding", 0.12)</f>
        <v>0.8</v>
      </c>
      <c r="M126" s="4">
        <f>Cleaned[[#This Row],[Salary]]*Cleaned[[#This Row],[Bonus Percentage]]</f>
        <v>55375.200000000004</v>
      </c>
      <c r="N126" s="8">
        <f>Cleaned[[#This Row],[Salary]]+Cleaned[[#This Row],[Bonus Payout]]</f>
        <v>124594.20000000001</v>
      </c>
    </row>
    <row r="127" spans="2:14" x14ac:dyDescent="0.25">
      <c r="B127" t="s">
        <v>144</v>
      </c>
      <c r="C127" t="s">
        <v>295</v>
      </c>
      <c r="D127" t="str">
        <f>VLOOKUP(Cleaned[[#This Row],[Dept Code]], Lookup_Departments!$A$2:$B$7, 2,FALSE)</f>
        <v>Information Technology</v>
      </c>
      <c r="E127" t="s">
        <v>5</v>
      </c>
      <c r="F127" s="2">
        <v>44747</v>
      </c>
      <c r="G127" t="str">
        <f ca="1">DATEDIF(Cleaned[[#This Row],[Hire Date]], TODAY(), "Y")&amp; "Years"</f>
        <v>4Years</v>
      </c>
      <c r="H127" s="4">
        <v>118008</v>
      </c>
      <c r="I127">
        <v>71</v>
      </c>
      <c r="J127" t="s">
        <v>21</v>
      </c>
      <c r="K127" t="str" cm="1">
        <f t="array" ref="K127">_xlfn.IFS(I127&lt;=49,"Needs Improvement", I127&lt;=69, "Developing", I127&lt;=84, "Achieving", I127&lt;=94, "Exceeding", I127&gt;94, "Outstanding")</f>
        <v>Achieving</v>
      </c>
      <c r="L127" cm="1">
        <f t="array" ref="L127">_xlfn.IFS(K127="Needs Improvement", 0, K127="Developing", 0.02, K127= "Achieving", 0.05, K127="Exceeding",0.8, K127="Outstanding", 0.12)</f>
        <v>0.05</v>
      </c>
      <c r="M127" s="4">
        <f>Cleaned[[#This Row],[Salary]]*Cleaned[[#This Row],[Bonus Percentage]]</f>
        <v>5900.4000000000005</v>
      </c>
      <c r="N127" s="8">
        <f>Cleaned[[#This Row],[Salary]]+Cleaned[[#This Row],[Bonus Payout]]</f>
        <v>123908.4</v>
      </c>
    </row>
    <row r="128" spans="2:14" x14ac:dyDescent="0.25">
      <c r="B128" t="s">
        <v>106</v>
      </c>
      <c r="C128" t="s">
        <v>277</v>
      </c>
      <c r="D128" t="str">
        <f>VLOOKUP(Cleaned[[#This Row],[Dept Code]], Lookup_Departments!$A$2:$B$7, 2,FALSE)</f>
        <v>Finance</v>
      </c>
      <c r="E128" t="s">
        <v>11</v>
      </c>
      <c r="F128" s="2">
        <v>44759</v>
      </c>
      <c r="G128" t="str">
        <f ca="1">DATEDIF(Cleaned[[#This Row],[Hire Date]], TODAY(), "Y")&amp; "Years"</f>
        <v>3Years</v>
      </c>
      <c r="H128" s="4">
        <v>98299</v>
      </c>
      <c r="I128">
        <v>61</v>
      </c>
      <c r="J128" t="s">
        <v>21</v>
      </c>
      <c r="K128" t="str" cm="1">
        <f t="array" ref="K128">_xlfn.IFS(I128&lt;=49,"Needs Improvement", I128&lt;=69, "Developing", I128&lt;=84, "Achieving", I128&lt;=94, "Exceeding", I128&gt;94, "Outstanding")</f>
        <v>Developing</v>
      </c>
      <c r="L128" cm="1">
        <f t="array" ref="L128">_xlfn.IFS(K128="Needs Improvement", 0, K128="Developing", 0.02, K128= "Achieving", 0.05, K128="Exceeding",0.8, K128="Outstanding", 0.12)</f>
        <v>0.02</v>
      </c>
      <c r="M128" s="4">
        <f>Cleaned[[#This Row],[Salary]]*Cleaned[[#This Row],[Bonus Percentage]]</f>
        <v>1965.98</v>
      </c>
      <c r="N128" s="8">
        <f>Cleaned[[#This Row],[Salary]]+Cleaned[[#This Row],[Bonus Payout]]</f>
        <v>100264.98</v>
      </c>
    </row>
    <row r="129" spans="2:14" x14ac:dyDescent="0.25">
      <c r="B129" t="s">
        <v>41</v>
      </c>
      <c r="C129" t="s">
        <v>223</v>
      </c>
      <c r="D129" t="str">
        <f>VLOOKUP(Cleaned[[#This Row],[Dept Code]], Lookup_Departments!$A$2:$B$7, 2,FALSE)</f>
        <v>Information Technology</v>
      </c>
      <c r="E129" t="s">
        <v>5</v>
      </c>
      <c r="F129" s="2">
        <v>44765</v>
      </c>
      <c r="G129" t="str">
        <f ca="1">DATEDIF(Cleaned[[#This Row],[Hire Date]], TODAY(), "Y")&amp; "Years"</f>
        <v>3Years</v>
      </c>
      <c r="H129" s="4">
        <v>50873</v>
      </c>
      <c r="I129">
        <v>90</v>
      </c>
      <c r="J129" t="s">
        <v>21</v>
      </c>
      <c r="K129" t="str" cm="1">
        <f t="array" ref="K129">_xlfn.IFS(I129&lt;=49,"Needs Improvement", I129&lt;=69, "Developing", I129&lt;=84, "Achieving", I129&lt;=94, "Exceeding", I129&gt;94, "Outstanding")</f>
        <v>Exceeding</v>
      </c>
      <c r="L129" cm="1">
        <f t="array" ref="L129">_xlfn.IFS(K129="Needs Improvement", 0, K129="Developing", 0.02, K129= "Achieving", 0.05, K129="Exceeding",0.8, K129="Outstanding", 0.12)</f>
        <v>0.8</v>
      </c>
      <c r="M129" s="4">
        <f>Cleaned[[#This Row],[Salary]]*Cleaned[[#This Row],[Bonus Percentage]]</f>
        <v>40698.400000000001</v>
      </c>
      <c r="N129" s="8">
        <f>Cleaned[[#This Row],[Salary]]+Cleaned[[#This Row],[Bonus Payout]]</f>
        <v>91571.4</v>
      </c>
    </row>
    <row r="130" spans="2:14" x14ac:dyDescent="0.25">
      <c r="B130" t="s">
        <v>52</v>
      </c>
      <c r="C130" t="s">
        <v>214</v>
      </c>
      <c r="D130" t="str">
        <f>VLOOKUP(Cleaned[[#This Row],[Dept Code]], Lookup_Departments!$A$2:$B$7, 2,FALSE)</f>
        <v>Operations</v>
      </c>
      <c r="E130" t="s">
        <v>15</v>
      </c>
      <c r="F130" s="2">
        <v>44776</v>
      </c>
      <c r="G130" t="str">
        <f ca="1">DATEDIF(Cleaned[[#This Row],[Hire Date]], TODAY(), "Y")&amp; "Years"</f>
        <v>3Years</v>
      </c>
      <c r="H130" s="4">
        <v>111845</v>
      </c>
      <c r="I130">
        <v>98</v>
      </c>
      <c r="J130" t="s">
        <v>21</v>
      </c>
      <c r="K130" t="str" cm="1">
        <f t="array" ref="K130">_xlfn.IFS(I130&lt;=49,"Needs Improvement", I130&lt;=69, "Developing", I130&lt;=84, "Achieving", I130&lt;=94, "Exceeding", I130&gt;94, "Outstanding")</f>
        <v>Outstanding</v>
      </c>
      <c r="L130" cm="1">
        <f t="array" ref="L130">_xlfn.IFS(K130="Needs Improvement", 0, K130="Developing", 0.02, K130= "Achieving", 0.05, K130="Exceeding",0.8, K130="Outstanding", 0.12)</f>
        <v>0.12</v>
      </c>
      <c r="M130" s="4">
        <f>Cleaned[[#This Row],[Salary]]*Cleaned[[#This Row],[Bonus Percentage]]</f>
        <v>13421.4</v>
      </c>
      <c r="N130" s="8">
        <f>Cleaned[[#This Row],[Salary]]+Cleaned[[#This Row],[Bonus Payout]]</f>
        <v>125266.4</v>
      </c>
    </row>
    <row r="131" spans="2:14" x14ac:dyDescent="0.25">
      <c r="B131" t="s">
        <v>35</v>
      </c>
      <c r="C131" t="s">
        <v>229</v>
      </c>
      <c r="D131" t="str">
        <f>VLOOKUP(Cleaned[[#This Row],[Dept Code]], Lookup_Departments!$A$2:$B$7, 2,FALSE)</f>
        <v>Information Technology</v>
      </c>
      <c r="E131" t="s">
        <v>5</v>
      </c>
      <c r="F131" s="2">
        <v>44815</v>
      </c>
      <c r="G131" t="str">
        <f ca="1">DATEDIF(Cleaned[[#This Row],[Hire Date]], TODAY(), "Y")&amp; "Years"</f>
        <v>3Years</v>
      </c>
      <c r="H131" s="4">
        <v>93956</v>
      </c>
      <c r="I131">
        <v>50</v>
      </c>
      <c r="J131" t="s">
        <v>13</v>
      </c>
      <c r="K131" t="str" cm="1">
        <f t="array" ref="K131">_xlfn.IFS(I131&lt;=49,"Needs Improvement", I131&lt;=69, "Developing", I131&lt;=84, "Achieving", I131&lt;=94, "Exceeding", I131&gt;94, "Outstanding")</f>
        <v>Developing</v>
      </c>
      <c r="L131" cm="1">
        <f t="array" ref="L131">_xlfn.IFS(K131="Needs Improvement", 0, K131="Developing", 0.02, K131= "Achieving", 0.05, K131="Exceeding",0.8, K131="Outstanding", 0.12)</f>
        <v>0.02</v>
      </c>
      <c r="M131" s="4">
        <f>Cleaned[[#This Row],[Salary]]*Cleaned[[#This Row],[Bonus Percentage]]</f>
        <v>1879.1200000000001</v>
      </c>
      <c r="N131" s="8">
        <f>Cleaned[[#This Row],[Salary]]+Cleaned[[#This Row],[Bonus Payout]]</f>
        <v>95835.12</v>
      </c>
    </row>
    <row r="132" spans="2:14" x14ac:dyDescent="0.25">
      <c r="B132" t="s">
        <v>94</v>
      </c>
      <c r="C132" t="s">
        <v>270</v>
      </c>
      <c r="D132" t="str">
        <f>VLOOKUP(Cleaned[[#This Row],[Dept Code]], Lookup_Departments!$A$2:$B$7, 2,FALSE)</f>
        <v>Sales</v>
      </c>
      <c r="E132" t="s">
        <v>20</v>
      </c>
      <c r="F132" s="2">
        <v>44819</v>
      </c>
      <c r="G132" t="str">
        <f ca="1">DATEDIF(Cleaned[[#This Row],[Hire Date]], TODAY(), "Y")&amp; "Years"</f>
        <v>3Years</v>
      </c>
      <c r="H132" s="4">
        <v>72457</v>
      </c>
      <c r="I132">
        <v>65</v>
      </c>
      <c r="J132" t="s">
        <v>13</v>
      </c>
      <c r="K132" t="str" cm="1">
        <f t="array" ref="K132">_xlfn.IFS(I132&lt;=49,"Needs Improvement", I132&lt;=69, "Developing", I132&lt;=84, "Achieving", I132&lt;=94, "Exceeding", I132&gt;94, "Outstanding")</f>
        <v>Developing</v>
      </c>
      <c r="L132" cm="1">
        <f t="array" ref="L132">_xlfn.IFS(K132="Needs Improvement", 0, K132="Developing", 0.02, K132= "Achieving", 0.05, K132="Exceeding",0.8, K132="Outstanding", 0.12)</f>
        <v>0.02</v>
      </c>
      <c r="M132" s="4">
        <f>Cleaned[[#This Row],[Salary]]*Cleaned[[#This Row],[Bonus Percentage]]</f>
        <v>1449.14</v>
      </c>
      <c r="N132" s="8">
        <f>Cleaned[[#This Row],[Salary]]+Cleaned[[#This Row],[Bonus Payout]]</f>
        <v>73906.14</v>
      </c>
    </row>
    <row r="133" spans="2:14" x14ac:dyDescent="0.25">
      <c r="B133" t="s">
        <v>84</v>
      </c>
      <c r="C133" t="s">
        <v>263</v>
      </c>
      <c r="D133" t="str">
        <f>VLOOKUP(Cleaned[[#This Row],[Dept Code]], Lookup_Departments!$A$2:$B$7, 2,FALSE)</f>
        <v>Operations</v>
      </c>
      <c r="E133" t="s">
        <v>15</v>
      </c>
      <c r="F133" s="2">
        <v>44827</v>
      </c>
      <c r="G133" t="str">
        <f ca="1">DATEDIF(Cleaned[[#This Row],[Hire Date]], TODAY(), "Y")&amp; "Years"</f>
        <v>3Years</v>
      </c>
      <c r="H133" s="4">
        <v>72457</v>
      </c>
      <c r="I133">
        <v>46</v>
      </c>
      <c r="J133" t="s">
        <v>13</v>
      </c>
      <c r="K133" t="str" cm="1">
        <f t="array" ref="K133">_xlfn.IFS(I133&lt;=49,"Needs Improvement", I133&lt;=69, "Developing", I133&lt;=84, "Achieving", I133&lt;=94, "Exceeding", I133&gt;94, "Outstanding")</f>
        <v>Needs Improvement</v>
      </c>
      <c r="L133" cm="1">
        <f t="array" ref="L133">_xlfn.IFS(K133="Needs Improvement", 0, K133="Developing", 0.02, K133= "Achieving", 0.05, K133="Exceeding",0.8, K133="Outstanding", 0.12)</f>
        <v>0</v>
      </c>
      <c r="M133" s="4">
        <f>Cleaned[[#This Row],[Salary]]*Cleaned[[#This Row],[Bonus Percentage]]</f>
        <v>0</v>
      </c>
      <c r="N133" s="8">
        <f>Cleaned[[#This Row],[Salary]]+Cleaned[[#This Row],[Bonus Payout]]</f>
        <v>72457</v>
      </c>
    </row>
    <row r="134" spans="2:14" x14ac:dyDescent="0.25">
      <c r="B134" t="s">
        <v>186</v>
      </c>
      <c r="C134" t="s">
        <v>294</v>
      </c>
      <c r="D134" t="str">
        <f>VLOOKUP(Cleaned[[#This Row],[Dept Code]], Lookup_Departments!$A$2:$B$7, 2,FALSE)</f>
        <v>Information Technology</v>
      </c>
      <c r="E134" t="s">
        <v>5</v>
      </c>
      <c r="F134" s="2">
        <v>44848</v>
      </c>
      <c r="G134" t="str">
        <f ca="1">DATEDIF(Cleaned[[#This Row],[Hire Date]], TODAY(), "Y")&amp; "Years"</f>
        <v>3Years</v>
      </c>
      <c r="H134" s="4">
        <v>118634</v>
      </c>
      <c r="I134">
        <v>91</v>
      </c>
      <c r="J134" t="s">
        <v>21</v>
      </c>
      <c r="K134" t="str" cm="1">
        <f t="array" ref="K134">_xlfn.IFS(I134&lt;=49,"Needs Improvement", I134&lt;=69, "Developing", I134&lt;=84, "Achieving", I134&lt;=94, "Exceeding", I134&gt;94, "Outstanding")</f>
        <v>Exceeding</v>
      </c>
      <c r="L134" cm="1">
        <f t="array" ref="L134">_xlfn.IFS(K134="Needs Improvement", 0, K134="Developing", 0.02, K134= "Achieving", 0.05, K134="Exceeding",0.8, K134="Outstanding", 0.12)</f>
        <v>0.8</v>
      </c>
      <c r="M134" s="4">
        <f>Cleaned[[#This Row],[Salary]]*Cleaned[[#This Row],[Bonus Percentage]]</f>
        <v>94907.200000000012</v>
      </c>
      <c r="N134" s="8">
        <f>Cleaned[[#This Row],[Salary]]+Cleaned[[#This Row],[Bonus Payout]]</f>
        <v>213541.2</v>
      </c>
    </row>
    <row r="135" spans="2:14" x14ac:dyDescent="0.25">
      <c r="B135" t="s">
        <v>153</v>
      </c>
      <c r="C135" t="s">
        <v>301</v>
      </c>
      <c r="D135" t="str">
        <f>VLOOKUP(Cleaned[[#This Row],[Dept Code]], Lookup_Departments!$A$2:$B$7, 2,FALSE)</f>
        <v>Operations</v>
      </c>
      <c r="E135" t="s">
        <v>15</v>
      </c>
      <c r="F135" s="2">
        <v>44930</v>
      </c>
      <c r="G135" t="str">
        <f ca="1">DATEDIF(Cleaned[[#This Row],[Hire Date]], TODAY(), "Y")&amp; "Years"</f>
        <v>3Years</v>
      </c>
      <c r="H135" s="4">
        <v>60623</v>
      </c>
      <c r="I135">
        <v>78</v>
      </c>
      <c r="J135" t="s">
        <v>21</v>
      </c>
      <c r="K135" t="str" cm="1">
        <f t="array" ref="K135">_xlfn.IFS(I135&lt;=49,"Needs Improvement", I135&lt;=69, "Developing", I135&lt;=84, "Achieving", I135&lt;=94, "Exceeding", I135&gt;94, "Outstanding")</f>
        <v>Achieving</v>
      </c>
      <c r="L135" cm="1">
        <f t="array" ref="L135">_xlfn.IFS(K135="Needs Improvement", 0, K135="Developing", 0.02, K135= "Achieving", 0.05, K135="Exceeding",0.8, K135="Outstanding", 0.12)</f>
        <v>0.05</v>
      </c>
      <c r="M135" s="4">
        <f>Cleaned[[#This Row],[Salary]]*Cleaned[[#This Row],[Bonus Percentage]]</f>
        <v>3031.15</v>
      </c>
      <c r="N135" s="8">
        <f>Cleaned[[#This Row],[Salary]]+Cleaned[[#This Row],[Bonus Payout]]</f>
        <v>63654.15</v>
      </c>
    </row>
    <row r="136" spans="2:14" x14ac:dyDescent="0.25">
      <c r="B136" t="s">
        <v>12</v>
      </c>
      <c r="C136" t="s">
        <v>212</v>
      </c>
      <c r="D136" t="str">
        <f>VLOOKUP(Cleaned[[#This Row],[Dept Code]], Lookup_Departments!$A$2:$B$7, 2,FALSE)</f>
        <v>Information Technology</v>
      </c>
      <c r="E136" t="s">
        <v>5</v>
      </c>
      <c r="F136" s="2">
        <v>44977</v>
      </c>
      <c r="G136" t="str">
        <f ca="1">DATEDIF(Cleaned[[#This Row],[Hire Date]], TODAY(), "Y")&amp; "Years"</f>
        <v>3Years</v>
      </c>
      <c r="H136" s="4">
        <v>73785</v>
      </c>
      <c r="I136">
        <v>40</v>
      </c>
      <c r="J136" t="s">
        <v>13</v>
      </c>
      <c r="K136" t="str" cm="1">
        <f t="array" ref="K136">_xlfn.IFS(I136&lt;=49,"Needs Improvement", I136&lt;=69, "Developing", I136&lt;=84, "Achieving", I136&lt;=94, "Exceeding", I136&gt;94, "Outstanding")</f>
        <v>Needs Improvement</v>
      </c>
      <c r="L136" cm="1">
        <f t="array" ref="L136">_xlfn.IFS(K136="Needs Improvement", 0, K136="Developing", 0.02, K136= "Achieving", 0.05, K136="Exceeding",0.8, K136="Outstanding", 0.12)</f>
        <v>0</v>
      </c>
      <c r="M136" s="4">
        <f>Cleaned[[#This Row],[Salary]]*Cleaned[[#This Row],[Bonus Percentage]]</f>
        <v>0</v>
      </c>
      <c r="N136" s="8">
        <f>Cleaned[[#This Row],[Salary]]+Cleaned[[#This Row],[Bonus Payout]]</f>
        <v>73785</v>
      </c>
    </row>
    <row r="137" spans="2:14" x14ac:dyDescent="0.25">
      <c r="B137" t="s">
        <v>180</v>
      </c>
      <c r="C137" t="s">
        <v>255</v>
      </c>
      <c r="D137" t="str">
        <f>VLOOKUP(Cleaned[[#This Row],[Dept Code]], Lookup_Departments!$A$2:$B$7, 2,FALSE)</f>
        <v>Human Resources</v>
      </c>
      <c r="E137" t="s">
        <v>49</v>
      </c>
      <c r="F137" s="2">
        <v>44991</v>
      </c>
      <c r="G137" t="str">
        <f ca="1">DATEDIF(Cleaned[[#This Row],[Hire Date]], TODAY(), "Y")&amp; "Years"</f>
        <v>3Years</v>
      </c>
      <c r="H137" s="4">
        <v>106896</v>
      </c>
      <c r="I137">
        <v>52</v>
      </c>
      <c r="J137" t="s">
        <v>13</v>
      </c>
      <c r="K137" t="str" cm="1">
        <f t="array" ref="K137">_xlfn.IFS(I137&lt;=49,"Needs Improvement", I137&lt;=69, "Developing", I137&lt;=84, "Achieving", I137&lt;=94, "Exceeding", I137&gt;94, "Outstanding")</f>
        <v>Developing</v>
      </c>
      <c r="L137" cm="1">
        <f t="array" ref="L137">_xlfn.IFS(K137="Needs Improvement", 0, K137="Developing", 0.02, K137= "Achieving", 0.05, K137="Exceeding",0.8, K137="Outstanding", 0.12)</f>
        <v>0.02</v>
      </c>
      <c r="M137" s="4">
        <f>Cleaned[[#This Row],[Salary]]*Cleaned[[#This Row],[Bonus Percentage]]</f>
        <v>2137.92</v>
      </c>
      <c r="N137" s="8">
        <f>Cleaned[[#This Row],[Salary]]+Cleaned[[#This Row],[Bonus Payout]]</f>
        <v>109033.92</v>
      </c>
    </row>
    <row r="138" spans="2:14" x14ac:dyDescent="0.25">
      <c r="B138" t="s">
        <v>149</v>
      </c>
      <c r="C138" t="s">
        <v>298</v>
      </c>
      <c r="D138" t="str">
        <f>VLOOKUP(Cleaned[[#This Row],[Dept Code]], Lookup_Departments!$A$2:$B$7, 2,FALSE)</f>
        <v>Human Resources</v>
      </c>
      <c r="E138" t="s">
        <v>49</v>
      </c>
      <c r="F138" s="2">
        <v>45036</v>
      </c>
      <c r="G138" t="str">
        <f ca="1">DATEDIF(Cleaned[[#This Row],[Hire Date]], TODAY(), "Y")&amp; "Years"</f>
        <v>3Years</v>
      </c>
      <c r="H138" s="4">
        <v>115260</v>
      </c>
      <c r="I138">
        <v>77</v>
      </c>
      <c r="J138" t="s">
        <v>21</v>
      </c>
      <c r="K138" t="str" cm="1">
        <f t="array" ref="K138">_xlfn.IFS(I138&lt;=49,"Needs Improvement", I138&lt;=69, "Developing", I138&lt;=84, "Achieving", I138&lt;=94, "Exceeding", I138&gt;94, "Outstanding")</f>
        <v>Achieving</v>
      </c>
      <c r="L138" cm="1">
        <f t="array" ref="L138">_xlfn.IFS(K138="Needs Improvement", 0, K138="Developing", 0.02, K138= "Achieving", 0.05, K138="Exceeding",0.8, K138="Outstanding", 0.12)</f>
        <v>0.05</v>
      </c>
      <c r="M138" s="4">
        <f>Cleaned[[#This Row],[Salary]]*Cleaned[[#This Row],[Bonus Percentage]]</f>
        <v>5763</v>
      </c>
      <c r="N138" s="8">
        <f>Cleaned[[#This Row],[Salary]]+Cleaned[[#This Row],[Bonus Payout]]</f>
        <v>121023</v>
      </c>
    </row>
    <row r="139" spans="2:14" x14ac:dyDescent="0.25">
      <c r="B139" t="s">
        <v>182</v>
      </c>
      <c r="C139" t="s">
        <v>314</v>
      </c>
      <c r="D139" t="str">
        <f>VLOOKUP(Cleaned[[#This Row],[Dept Code]], Lookup_Departments!$A$2:$B$7, 2,FALSE)</f>
        <v>Finance</v>
      </c>
      <c r="E139" t="s">
        <v>11</v>
      </c>
      <c r="F139" s="2">
        <v>45037</v>
      </c>
      <c r="G139" t="str">
        <f ca="1">DATEDIF(Cleaned[[#This Row],[Hire Date]], TODAY(), "Y")&amp; "Years"</f>
        <v>3Years</v>
      </c>
      <c r="H139" s="4">
        <v>85457</v>
      </c>
      <c r="I139">
        <v>79</v>
      </c>
      <c r="J139" t="s">
        <v>21</v>
      </c>
      <c r="K139" t="str" cm="1">
        <f t="array" ref="K139">_xlfn.IFS(I139&lt;=49,"Needs Improvement", I139&lt;=69, "Developing", I139&lt;=84, "Achieving", I139&lt;=94, "Exceeding", I139&gt;94, "Outstanding")</f>
        <v>Achieving</v>
      </c>
      <c r="L139" cm="1">
        <f t="array" ref="L139">_xlfn.IFS(K139="Needs Improvement", 0, K139="Developing", 0.02, K139= "Achieving", 0.05, K139="Exceeding",0.8, K139="Outstanding", 0.12)</f>
        <v>0.05</v>
      </c>
      <c r="M139" s="4">
        <f>Cleaned[[#This Row],[Salary]]*Cleaned[[#This Row],[Bonus Percentage]]</f>
        <v>4272.8500000000004</v>
      </c>
      <c r="N139" s="8">
        <f>Cleaned[[#This Row],[Salary]]+Cleaned[[#This Row],[Bonus Payout]]</f>
        <v>89729.85</v>
      </c>
    </row>
    <row r="140" spans="2:14" x14ac:dyDescent="0.25">
      <c r="B140" t="s">
        <v>128</v>
      </c>
      <c r="C140" t="s">
        <v>289</v>
      </c>
      <c r="D140" t="str">
        <f>VLOOKUP(Cleaned[[#This Row],[Dept Code]], Lookup_Departments!$A$2:$B$7, 2,FALSE)</f>
        <v>Information Technology</v>
      </c>
      <c r="E140" t="s">
        <v>5</v>
      </c>
      <c r="F140" s="2">
        <v>45055</v>
      </c>
      <c r="G140" t="str">
        <f ca="1">DATEDIF(Cleaned[[#This Row],[Hire Date]], TODAY(), "Y")&amp; "Years"</f>
        <v>3Years</v>
      </c>
      <c r="H140" s="4">
        <v>49942</v>
      </c>
      <c r="I140">
        <v>51</v>
      </c>
      <c r="J140" t="s">
        <v>21</v>
      </c>
      <c r="K140" t="str" cm="1">
        <f t="array" ref="K140">_xlfn.IFS(I140&lt;=49,"Needs Improvement", I140&lt;=69, "Developing", I140&lt;=84, "Achieving", I140&lt;=94, "Exceeding", I140&gt;94, "Outstanding")</f>
        <v>Developing</v>
      </c>
      <c r="L140" cm="1">
        <f t="array" ref="L140">_xlfn.IFS(K140="Needs Improvement", 0, K140="Developing", 0.02, K140= "Achieving", 0.05, K140="Exceeding",0.8, K140="Outstanding", 0.12)</f>
        <v>0.02</v>
      </c>
      <c r="M140" s="4">
        <f>Cleaned[[#This Row],[Salary]]*Cleaned[[#This Row],[Bonus Percentage]]</f>
        <v>998.84</v>
      </c>
      <c r="N140" s="8">
        <f>Cleaned[[#This Row],[Salary]]+Cleaned[[#This Row],[Bonus Payout]]</f>
        <v>50940.84</v>
      </c>
    </row>
    <row r="141" spans="2:14" x14ac:dyDescent="0.25">
      <c r="B141" t="s">
        <v>164</v>
      </c>
      <c r="C141" t="s">
        <v>304</v>
      </c>
      <c r="D141" t="str">
        <f>VLOOKUP(Cleaned[[#This Row],[Dept Code]], Lookup_Departments!$A$2:$B$7, 2,FALSE)</f>
        <v>Sales</v>
      </c>
      <c r="E141" t="s">
        <v>20</v>
      </c>
      <c r="F141" s="2">
        <v>45057</v>
      </c>
      <c r="G141" t="str">
        <f ca="1">DATEDIF(Cleaned[[#This Row],[Hire Date]], TODAY(), "Y")&amp; "Years"</f>
        <v>3Years</v>
      </c>
      <c r="H141" s="4">
        <v>110618</v>
      </c>
      <c r="I141">
        <v>88</v>
      </c>
      <c r="J141" t="s">
        <v>60</v>
      </c>
      <c r="K141" t="str" cm="1">
        <f t="array" ref="K141">_xlfn.IFS(I141&lt;=49,"Needs Improvement", I141&lt;=69, "Developing", I141&lt;=84, "Achieving", I141&lt;=94, "Exceeding", I141&gt;94, "Outstanding")</f>
        <v>Exceeding</v>
      </c>
      <c r="L141" cm="1">
        <f t="array" ref="L141">_xlfn.IFS(K141="Needs Improvement", 0, K141="Developing", 0.02, K141= "Achieving", 0.05, K141="Exceeding",0.8, K141="Outstanding", 0.12)</f>
        <v>0.8</v>
      </c>
      <c r="M141" s="4">
        <f>Cleaned[[#This Row],[Salary]]*Cleaned[[#This Row],[Bonus Percentage]]</f>
        <v>88494.400000000009</v>
      </c>
      <c r="N141" s="8">
        <f>Cleaned[[#This Row],[Salary]]+Cleaned[[#This Row],[Bonus Payout]]</f>
        <v>199112.40000000002</v>
      </c>
    </row>
    <row r="142" spans="2:14" x14ac:dyDescent="0.25">
      <c r="B142" t="s">
        <v>10</v>
      </c>
      <c r="C142" t="s">
        <v>211</v>
      </c>
      <c r="D142" t="str">
        <f>VLOOKUP(Cleaned[[#This Row],[Dept Code]], Lookup_Departments!$A$2:$B$7, 2,FALSE)</f>
        <v>Finance</v>
      </c>
      <c r="E142" t="s">
        <v>11</v>
      </c>
      <c r="F142" s="2">
        <v>45110</v>
      </c>
      <c r="G142" t="str">
        <f ca="1">DATEDIF(Cleaned[[#This Row],[Hire Date]], TODAY(), "Y")&amp; "Years"</f>
        <v>3Years</v>
      </c>
      <c r="H142" s="4">
        <v>103831</v>
      </c>
      <c r="I142">
        <v>70</v>
      </c>
      <c r="J142" t="s">
        <v>21</v>
      </c>
      <c r="K142" t="str" cm="1">
        <f t="array" ref="K142">_xlfn.IFS(I142&lt;=49,"Needs Improvement", I142&lt;=69, "Developing", I142&lt;=84, "Achieving", I142&lt;=94, "Exceeding", I142&gt;94, "Outstanding")</f>
        <v>Achieving</v>
      </c>
      <c r="L142" cm="1">
        <f t="array" ref="L142">_xlfn.IFS(K142="Needs Improvement", 0, K142="Developing", 0.02, K142= "Achieving", 0.05, K142="Exceeding",0.8, K142="Outstanding", 0.12)</f>
        <v>0.05</v>
      </c>
      <c r="M142" s="4">
        <f>Cleaned[[#This Row],[Salary]]*Cleaned[[#This Row],[Bonus Percentage]]</f>
        <v>5191.55</v>
      </c>
      <c r="N142" s="8">
        <f>Cleaned[[#This Row],[Salary]]+Cleaned[[#This Row],[Bonus Payout]]</f>
        <v>109022.55</v>
      </c>
    </row>
    <row r="143" spans="2:14" x14ac:dyDescent="0.25">
      <c r="B143" t="s">
        <v>74</v>
      </c>
      <c r="C143" t="s">
        <v>257</v>
      </c>
      <c r="D143" t="str">
        <f>VLOOKUP(Cleaned[[#This Row],[Dept Code]], Lookup_Departments!$A$2:$B$7, 2,FALSE)</f>
        <v>Information Technology</v>
      </c>
      <c r="E143" t="s">
        <v>5</v>
      </c>
      <c r="F143" s="2">
        <v>45112</v>
      </c>
      <c r="G143" t="str">
        <f ca="1">DATEDIF(Cleaned[[#This Row],[Hire Date]], TODAY(), "Y")&amp; "Years"</f>
        <v>3Years</v>
      </c>
      <c r="H143" s="4">
        <v>72457</v>
      </c>
      <c r="I143">
        <v>54</v>
      </c>
      <c r="J143" t="s">
        <v>21</v>
      </c>
      <c r="K143" t="str" cm="1">
        <f t="array" ref="K143">_xlfn.IFS(I143&lt;=49,"Needs Improvement", I143&lt;=69, "Developing", I143&lt;=84, "Achieving", I143&lt;=94, "Exceeding", I143&gt;94, "Outstanding")</f>
        <v>Developing</v>
      </c>
      <c r="L143" cm="1">
        <f t="array" ref="L143">_xlfn.IFS(K143="Needs Improvement", 0, K143="Developing", 0.02, K143= "Achieving", 0.05, K143="Exceeding",0.8, K143="Outstanding", 0.12)</f>
        <v>0.02</v>
      </c>
      <c r="M143" s="4">
        <f>Cleaned[[#This Row],[Salary]]*Cleaned[[#This Row],[Bonus Percentage]]</f>
        <v>1449.14</v>
      </c>
      <c r="N143" s="8">
        <f>Cleaned[[#This Row],[Salary]]+Cleaned[[#This Row],[Bonus Payout]]</f>
        <v>73906.14</v>
      </c>
    </row>
    <row r="144" spans="2:14" x14ac:dyDescent="0.25">
      <c r="B144" t="s">
        <v>38</v>
      </c>
      <c r="C144" t="s">
        <v>232</v>
      </c>
      <c r="D144" t="str">
        <f>VLOOKUP(Cleaned[[#This Row],[Dept Code]], Lookup_Departments!$A$2:$B$7, 2,FALSE)</f>
        <v>Sales</v>
      </c>
      <c r="E144" t="s">
        <v>20</v>
      </c>
      <c r="F144" s="2">
        <v>45134</v>
      </c>
      <c r="G144" t="str">
        <f ca="1">DATEDIF(Cleaned[[#This Row],[Hire Date]], TODAY(), "Y")&amp; "Years"</f>
        <v>2Years</v>
      </c>
      <c r="H144" s="4">
        <v>81205</v>
      </c>
      <c r="I144">
        <v>59</v>
      </c>
      <c r="J144" t="s">
        <v>21</v>
      </c>
      <c r="K144" t="str" cm="1">
        <f t="array" ref="K144">_xlfn.IFS(I144&lt;=49,"Needs Improvement", I144&lt;=69, "Developing", I144&lt;=84, "Achieving", I144&lt;=94, "Exceeding", I144&gt;94, "Outstanding")</f>
        <v>Developing</v>
      </c>
      <c r="L144" cm="1">
        <f t="array" ref="L144">_xlfn.IFS(K144="Needs Improvement", 0, K144="Developing", 0.02, K144= "Achieving", 0.05, K144="Exceeding",0.8, K144="Outstanding", 0.12)</f>
        <v>0.02</v>
      </c>
      <c r="M144" s="4">
        <f>Cleaned[[#This Row],[Salary]]*Cleaned[[#This Row],[Bonus Percentage]]</f>
        <v>1624.1000000000001</v>
      </c>
      <c r="N144" s="8">
        <f>Cleaned[[#This Row],[Salary]]+Cleaned[[#This Row],[Bonus Payout]]</f>
        <v>82829.100000000006</v>
      </c>
    </row>
    <row r="145" spans="2:14" x14ac:dyDescent="0.25">
      <c r="B145" t="s">
        <v>28</v>
      </c>
      <c r="C145" t="s">
        <v>223</v>
      </c>
      <c r="D145" t="str">
        <f>VLOOKUP(Cleaned[[#This Row],[Dept Code]], Lookup_Departments!$A$2:$B$7, 2,FALSE)</f>
        <v>Sales</v>
      </c>
      <c r="E145" t="s">
        <v>20</v>
      </c>
      <c r="F145" s="2">
        <v>45169</v>
      </c>
      <c r="G145" t="str">
        <f ca="1">DATEDIF(Cleaned[[#This Row],[Hire Date]], TODAY(), "Y")&amp; "Years"</f>
        <v>2Years</v>
      </c>
      <c r="H145" s="4">
        <v>65290</v>
      </c>
      <c r="I145">
        <v>77</v>
      </c>
      <c r="J145" t="s">
        <v>21</v>
      </c>
      <c r="K145" t="str" cm="1">
        <f t="array" ref="K145">_xlfn.IFS(I145&lt;=49,"Needs Improvement", I145&lt;=69, "Developing", I145&lt;=84, "Achieving", I145&lt;=94, "Exceeding", I145&gt;94, "Outstanding")</f>
        <v>Achieving</v>
      </c>
      <c r="L145" cm="1">
        <f t="array" ref="L145">_xlfn.IFS(K145="Needs Improvement", 0, K145="Developing", 0.02, K145= "Achieving", 0.05, K145="Exceeding",0.8, K145="Outstanding", 0.12)</f>
        <v>0.05</v>
      </c>
      <c r="M145" s="4">
        <f>Cleaned[[#This Row],[Salary]]*Cleaned[[#This Row],[Bonus Percentage]]</f>
        <v>3264.5</v>
      </c>
      <c r="N145" s="8">
        <f>Cleaned[[#This Row],[Salary]]+Cleaned[[#This Row],[Bonus Payout]]</f>
        <v>68554.5</v>
      </c>
    </row>
    <row r="146" spans="2:14" x14ac:dyDescent="0.25">
      <c r="B146" t="s">
        <v>105</v>
      </c>
      <c r="C146" t="s">
        <v>276</v>
      </c>
      <c r="D146" t="str">
        <f>VLOOKUP(Cleaned[[#This Row],[Dept Code]], Lookup_Departments!$A$2:$B$7, 2,FALSE)</f>
        <v>Information Technology</v>
      </c>
      <c r="E146" t="s">
        <v>5</v>
      </c>
      <c r="F146" s="2">
        <v>45171</v>
      </c>
      <c r="G146" t="str">
        <f ca="1">DATEDIF(Cleaned[[#This Row],[Hire Date]], TODAY(), "Y")&amp; "Years"</f>
        <v>2Years</v>
      </c>
      <c r="H146" s="4">
        <v>83724</v>
      </c>
      <c r="I146">
        <v>81</v>
      </c>
      <c r="J146" t="s">
        <v>60</v>
      </c>
      <c r="K146" t="str" cm="1">
        <f t="array" ref="K146">_xlfn.IFS(I146&lt;=49,"Needs Improvement", I146&lt;=69, "Developing", I146&lt;=84, "Achieving", I146&lt;=94, "Exceeding", I146&gt;94, "Outstanding")</f>
        <v>Achieving</v>
      </c>
      <c r="L146" cm="1">
        <f t="array" ref="L146">_xlfn.IFS(K146="Needs Improvement", 0, K146="Developing", 0.02, K146= "Achieving", 0.05, K146="Exceeding",0.8, K146="Outstanding", 0.12)</f>
        <v>0.05</v>
      </c>
      <c r="M146" s="4">
        <f>Cleaned[[#This Row],[Salary]]*Cleaned[[#This Row],[Bonus Percentage]]</f>
        <v>4186.2</v>
      </c>
      <c r="N146" s="8">
        <f>Cleaned[[#This Row],[Salary]]+Cleaned[[#This Row],[Bonus Payout]]</f>
        <v>87910.2</v>
      </c>
    </row>
    <row r="147" spans="2:14" x14ac:dyDescent="0.25">
      <c r="B147" t="s">
        <v>46</v>
      </c>
      <c r="C147" t="s">
        <v>236</v>
      </c>
      <c r="D147" t="str">
        <f>VLOOKUP(Cleaned[[#This Row],[Dept Code]], Lookup_Departments!$A$2:$B$7, 2,FALSE)</f>
        <v>Information Technology</v>
      </c>
      <c r="E147" t="s">
        <v>5</v>
      </c>
      <c r="F147" s="2">
        <v>45195</v>
      </c>
      <c r="G147" t="str">
        <f ca="1">DATEDIF(Cleaned[[#This Row],[Hire Date]], TODAY(), "Y")&amp; "Years"</f>
        <v>2Years</v>
      </c>
      <c r="H147" s="4">
        <v>66069</v>
      </c>
      <c r="I147">
        <v>72</v>
      </c>
      <c r="J147" t="s">
        <v>21</v>
      </c>
      <c r="K147" t="str" cm="1">
        <f t="array" ref="K147">_xlfn.IFS(I147&lt;=49,"Needs Improvement", I147&lt;=69, "Developing", I147&lt;=84, "Achieving", I147&lt;=94, "Exceeding", I147&gt;94, "Outstanding")</f>
        <v>Achieving</v>
      </c>
      <c r="L147" cm="1">
        <f t="array" ref="L147">_xlfn.IFS(K147="Needs Improvement", 0, K147="Developing", 0.02, K147= "Achieving", 0.05, K147="Exceeding",0.8, K147="Outstanding", 0.12)</f>
        <v>0.05</v>
      </c>
      <c r="M147" s="4">
        <f>Cleaned[[#This Row],[Salary]]*Cleaned[[#This Row],[Bonus Percentage]]</f>
        <v>3303.4500000000003</v>
      </c>
      <c r="N147" s="8">
        <f>Cleaned[[#This Row],[Salary]]+Cleaned[[#This Row],[Bonus Payout]]</f>
        <v>69372.45</v>
      </c>
    </row>
    <row r="148" spans="2:14" x14ac:dyDescent="0.25">
      <c r="B148" t="s">
        <v>108</v>
      </c>
      <c r="C148" t="s">
        <v>279</v>
      </c>
      <c r="D148" t="str">
        <f>VLOOKUP(Cleaned[[#This Row],[Dept Code]], Lookup_Departments!$A$2:$B$7, 2,FALSE)</f>
        <v>Information Technology</v>
      </c>
      <c r="E148" t="s">
        <v>5</v>
      </c>
      <c r="F148" s="2">
        <v>45203</v>
      </c>
      <c r="G148" t="str">
        <f ca="1">DATEDIF(Cleaned[[#This Row],[Hire Date]], TODAY(), "Y")&amp; "Years"</f>
        <v>2Years</v>
      </c>
      <c r="H148" s="4">
        <v>52287</v>
      </c>
      <c r="I148">
        <v>70</v>
      </c>
      <c r="J148" t="s">
        <v>21</v>
      </c>
      <c r="K148" t="str" cm="1">
        <f t="array" ref="K148">_xlfn.IFS(I148&lt;=49,"Needs Improvement", I148&lt;=69, "Developing", I148&lt;=84, "Achieving", I148&lt;=94, "Exceeding", I148&gt;94, "Outstanding")</f>
        <v>Achieving</v>
      </c>
      <c r="L148" cm="1">
        <f t="array" ref="L148">_xlfn.IFS(K148="Needs Improvement", 0, K148="Developing", 0.02, K148= "Achieving", 0.05, K148="Exceeding",0.8, K148="Outstanding", 0.12)</f>
        <v>0.05</v>
      </c>
      <c r="M148" s="4">
        <f>Cleaned[[#This Row],[Salary]]*Cleaned[[#This Row],[Bonus Percentage]]</f>
        <v>2614.3500000000004</v>
      </c>
      <c r="N148" s="8">
        <f>Cleaned[[#This Row],[Salary]]+Cleaned[[#This Row],[Bonus Payout]]</f>
        <v>54901.35</v>
      </c>
    </row>
    <row r="149" spans="2:14" x14ac:dyDescent="0.25">
      <c r="B149" t="s">
        <v>78</v>
      </c>
      <c r="C149" t="s">
        <v>244</v>
      </c>
      <c r="D149" t="str">
        <f>VLOOKUP(Cleaned[[#This Row],[Dept Code]], Lookup_Departments!$A$2:$B$7, 2,FALSE)</f>
        <v>Sales</v>
      </c>
      <c r="E149" t="s">
        <v>20</v>
      </c>
      <c r="F149" s="2">
        <v>45217</v>
      </c>
      <c r="G149" t="str">
        <f ca="1">DATEDIF(Cleaned[[#This Row],[Hire Date]], TODAY(), "Y")&amp; "Years"</f>
        <v>2Years</v>
      </c>
      <c r="H149" s="4">
        <v>110381</v>
      </c>
      <c r="I149">
        <v>93</v>
      </c>
      <c r="J149" t="s">
        <v>21</v>
      </c>
      <c r="K149" t="str" cm="1">
        <f t="array" ref="K149">_xlfn.IFS(I149&lt;=49,"Needs Improvement", I149&lt;=69, "Developing", I149&lt;=84, "Achieving", I149&lt;=94, "Exceeding", I149&gt;94, "Outstanding")</f>
        <v>Exceeding</v>
      </c>
      <c r="L149" cm="1">
        <f t="array" ref="L149">_xlfn.IFS(K149="Needs Improvement", 0, K149="Developing", 0.02, K149= "Achieving", 0.05, K149="Exceeding",0.8, K149="Outstanding", 0.12)</f>
        <v>0.8</v>
      </c>
      <c r="M149" s="4">
        <f>Cleaned[[#This Row],[Salary]]*Cleaned[[#This Row],[Bonus Percentage]]</f>
        <v>88304.8</v>
      </c>
      <c r="N149" s="8">
        <f>Cleaned[[#This Row],[Salary]]+Cleaned[[#This Row],[Bonus Payout]]</f>
        <v>198685.8</v>
      </c>
    </row>
    <row r="150" spans="2:14" x14ac:dyDescent="0.25">
      <c r="B150" t="s">
        <v>77</v>
      </c>
      <c r="C150" t="s">
        <v>208</v>
      </c>
      <c r="D150" t="str">
        <f>VLOOKUP(Cleaned[[#This Row],[Dept Code]], Lookup_Departments!$A$2:$B$7, 2,FALSE)</f>
        <v>Information Technology</v>
      </c>
      <c r="E150" t="s">
        <v>5</v>
      </c>
      <c r="F150" s="2">
        <v>45255</v>
      </c>
      <c r="G150" t="str">
        <f ca="1">DATEDIF(Cleaned[[#This Row],[Hire Date]], TODAY(), "Y")&amp; "Years"</f>
        <v>2Years</v>
      </c>
      <c r="H150" s="4">
        <v>49435</v>
      </c>
      <c r="I150">
        <v>93</v>
      </c>
      <c r="J150" t="s">
        <v>13</v>
      </c>
      <c r="K150" t="str" cm="1">
        <f t="array" ref="K150">_xlfn.IFS(I150&lt;=49,"Needs Improvement", I150&lt;=69, "Developing", I150&lt;=84, "Achieving", I150&lt;=94, "Exceeding", I150&gt;94, "Outstanding")</f>
        <v>Exceeding</v>
      </c>
      <c r="L150" cm="1">
        <f t="array" ref="L150">_xlfn.IFS(K150="Needs Improvement", 0, K150="Developing", 0.02, K150= "Achieving", 0.05, K150="Exceeding",0.8, K150="Outstanding", 0.12)</f>
        <v>0.8</v>
      </c>
      <c r="M150" s="4">
        <f>Cleaned[[#This Row],[Salary]]*Cleaned[[#This Row],[Bonus Percentage]]</f>
        <v>39548</v>
      </c>
      <c r="N150" s="8">
        <f>Cleaned[[#This Row],[Salary]]+Cleaned[[#This Row],[Bonus Payout]]</f>
        <v>88983</v>
      </c>
    </row>
    <row r="151" spans="2:14" x14ac:dyDescent="0.25">
      <c r="B151" t="s">
        <v>16</v>
      </c>
      <c r="C151" t="s">
        <v>214</v>
      </c>
      <c r="D151" t="str">
        <f>VLOOKUP(Cleaned[[#This Row],[Dept Code]], Lookup_Departments!$A$2:$B$7, 2,FALSE)</f>
        <v>Operations</v>
      </c>
      <c r="E151" t="s">
        <v>15</v>
      </c>
      <c r="F151" s="2">
        <v>45272</v>
      </c>
      <c r="G151" t="str">
        <f ca="1">DATEDIF(Cleaned[[#This Row],[Hire Date]], TODAY(), "Y")&amp; "Years"</f>
        <v>2Years</v>
      </c>
      <c r="H151" s="4">
        <v>59980</v>
      </c>
      <c r="I151">
        <v>70</v>
      </c>
      <c r="J151" t="s">
        <v>13</v>
      </c>
      <c r="K151" t="str" cm="1">
        <f t="array" ref="K151">_xlfn.IFS(I151&lt;=49,"Needs Improvement", I151&lt;=69, "Developing", I151&lt;=84, "Achieving", I151&lt;=94, "Exceeding", I151&gt;94, "Outstanding")</f>
        <v>Achieving</v>
      </c>
      <c r="L151" cm="1">
        <f t="array" ref="L151">_xlfn.IFS(K151="Needs Improvement", 0, K151="Developing", 0.02, K151= "Achieving", 0.05, K151="Exceeding",0.8, K151="Outstanding", 0.12)</f>
        <v>0.05</v>
      </c>
      <c r="M151" s="4">
        <f>Cleaned[[#This Row],[Salary]]*Cleaned[[#This Row],[Bonus Percentage]]</f>
        <v>2999</v>
      </c>
      <c r="N151" s="8">
        <f>Cleaned[[#This Row],[Salary]]+Cleaned[[#This Row],[Bonus Payout]]</f>
        <v>62979</v>
      </c>
    </row>
    <row r="157" spans="2:14" x14ac:dyDescent="0.25">
      <c r="F157" t="s">
        <v>334</v>
      </c>
      <c r="G157" s="12">
        <v>72457</v>
      </c>
      <c r="H157" s="4">
        <f>AVERAGE(Cleaned[Salary])</f>
        <v>82117.67333333334</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7"/>
  <sheetViews>
    <sheetView workbookViewId="0">
      <selection activeCell="B18" sqref="B18"/>
    </sheetView>
  </sheetViews>
  <sheetFormatPr defaultRowHeight="15" x14ac:dyDescent="0.25"/>
  <cols>
    <col min="1" max="1" width="19.5703125" customWidth="1"/>
    <col min="2" max="2" width="23.28515625" customWidth="1"/>
  </cols>
  <sheetData>
    <row r="1" spans="1:2" x14ac:dyDescent="0.25">
      <c r="A1" s="1" t="s">
        <v>188</v>
      </c>
      <c r="B1" s="1" t="s">
        <v>189</v>
      </c>
    </row>
    <row r="2" spans="1:2" x14ac:dyDescent="0.25">
      <c r="A2" t="s">
        <v>49</v>
      </c>
      <c r="B2" t="s">
        <v>190</v>
      </c>
    </row>
    <row r="3" spans="1:2" x14ac:dyDescent="0.25">
      <c r="A3" t="s">
        <v>5</v>
      </c>
      <c r="B3" t="s">
        <v>191</v>
      </c>
    </row>
    <row r="4" spans="1:2" x14ac:dyDescent="0.25">
      <c r="A4" t="s">
        <v>11</v>
      </c>
      <c r="B4" t="s">
        <v>192</v>
      </c>
    </row>
    <row r="5" spans="1:2" x14ac:dyDescent="0.25">
      <c r="A5" t="s">
        <v>7</v>
      </c>
      <c r="B5" t="s">
        <v>193</v>
      </c>
    </row>
    <row r="6" spans="1:2" x14ac:dyDescent="0.25">
      <c r="A6" t="s">
        <v>20</v>
      </c>
      <c r="B6" t="s">
        <v>194</v>
      </c>
    </row>
    <row r="7" spans="1:2" x14ac:dyDescent="0.25">
      <c r="A7" t="s">
        <v>15</v>
      </c>
      <c r="B7" t="s">
        <v>195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D6"/>
  <sheetViews>
    <sheetView workbookViewId="0">
      <selection activeCell="D22" sqref="D22"/>
    </sheetView>
  </sheetViews>
  <sheetFormatPr defaultRowHeight="15" x14ac:dyDescent="0.25"/>
  <cols>
    <col min="1" max="1" width="14.7109375" customWidth="1"/>
    <col min="2" max="2" width="14.42578125" customWidth="1"/>
    <col min="3" max="3" width="23.7109375" customWidth="1"/>
    <col min="4" max="4" width="19.5703125" customWidth="1"/>
  </cols>
  <sheetData>
    <row r="1" spans="1:4" x14ac:dyDescent="0.25">
      <c r="A1" s="1" t="s">
        <v>196</v>
      </c>
      <c r="B1" s="1" t="s">
        <v>197</v>
      </c>
      <c r="C1" s="1" t="s">
        <v>198</v>
      </c>
      <c r="D1" s="1" t="s">
        <v>199</v>
      </c>
    </row>
    <row r="2" spans="1:4" x14ac:dyDescent="0.25">
      <c r="A2">
        <v>0</v>
      </c>
      <c r="B2">
        <v>49</v>
      </c>
      <c r="C2" t="s">
        <v>200</v>
      </c>
      <c r="D2">
        <v>0</v>
      </c>
    </row>
    <row r="3" spans="1:4" x14ac:dyDescent="0.25">
      <c r="A3">
        <v>50</v>
      </c>
      <c r="B3">
        <v>69</v>
      </c>
      <c r="C3" t="s">
        <v>201</v>
      </c>
      <c r="D3">
        <v>0.02</v>
      </c>
    </row>
    <row r="4" spans="1:4" x14ac:dyDescent="0.25">
      <c r="A4">
        <v>70</v>
      </c>
      <c r="B4">
        <v>84</v>
      </c>
      <c r="C4" t="s">
        <v>202</v>
      </c>
      <c r="D4">
        <v>0.05</v>
      </c>
    </row>
    <row r="5" spans="1:4" x14ac:dyDescent="0.25">
      <c r="A5">
        <v>85</v>
      </c>
      <c r="B5">
        <v>94</v>
      </c>
      <c r="C5" t="s">
        <v>203</v>
      </c>
      <c r="D5">
        <v>0.08</v>
      </c>
    </row>
    <row r="6" spans="1:4" x14ac:dyDescent="0.25">
      <c r="A6">
        <v>95</v>
      </c>
      <c r="B6">
        <v>100</v>
      </c>
      <c r="C6" t="s">
        <v>204</v>
      </c>
      <c r="D6">
        <v>0.12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582E-928F-4909-9E51-BA2A68A389C3}">
  <sheetPr>
    <tabColor theme="3" tint="0.39997558519241921"/>
  </sheetPr>
  <dimension ref="A1:H158"/>
  <sheetViews>
    <sheetView workbookViewId="0">
      <selection activeCell="D17" sqref="D17"/>
    </sheetView>
  </sheetViews>
  <sheetFormatPr defaultRowHeight="15" x14ac:dyDescent="0.25"/>
  <cols>
    <col min="1" max="1" width="10.85546875" customWidth="1"/>
    <col min="2" max="2" width="14.42578125" customWidth="1"/>
    <col min="3" max="3" width="14.140625" customWidth="1"/>
    <col min="4" max="4" width="13" customWidth="1"/>
    <col min="5" max="5" width="19.5703125" customWidth="1"/>
    <col min="6" max="6" width="11.140625" customWidth="1"/>
    <col min="7" max="7" width="13.140625" customWidth="1"/>
    <col min="8" max="8" width="20.28515625" customWidth="1"/>
  </cols>
  <sheetData>
    <row r="1" spans="1:8" x14ac:dyDescent="0.25">
      <c r="A1" s="1" t="s">
        <v>344</v>
      </c>
      <c r="B1" s="1" t="s">
        <v>345</v>
      </c>
      <c r="C1" s="1" t="s">
        <v>346</v>
      </c>
      <c r="D1" s="1" t="s">
        <v>0</v>
      </c>
      <c r="E1" s="1" t="s">
        <v>1</v>
      </c>
      <c r="F1" s="1" t="s">
        <v>2</v>
      </c>
      <c r="G1" s="1" t="s">
        <v>347</v>
      </c>
      <c r="H1" s="1" t="s">
        <v>3</v>
      </c>
    </row>
    <row r="2" spans="1:8" x14ac:dyDescent="0.25">
      <c r="A2" t="s">
        <v>4</v>
      </c>
      <c r="B2" t="s">
        <v>348</v>
      </c>
      <c r="C2" t="s">
        <v>349</v>
      </c>
      <c r="D2" t="s">
        <v>5</v>
      </c>
      <c r="E2" s="23">
        <v>43093</v>
      </c>
      <c r="F2">
        <v>50361</v>
      </c>
      <c r="G2">
        <v>52</v>
      </c>
      <c r="H2" t="s">
        <v>350</v>
      </c>
    </row>
    <row r="3" spans="1:8" x14ac:dyDescent="0.25">
      <c r="A3" t="s">
        <v>6</v>
      </c>
      <c r="B3" t="s">
        <v>351</v>
      </c>
      <c r="C3" t="s">
        <v>352</v>
      </c>
      <c r="D3" t="s">
        <v>7</v>
      </c>
      <c r="E3" s="23">
        <v>44659</v>
      </c>
      <c r="F3">
        <v>112673</v>
      </c>
      <c r="H3" t="s">
        <v>353</v>
      </c>
    </row>
    <row r="4" spans="1:8" x14ac:dyDescent="0.25">
      <c r="A4" t="s">
        <v>8</v>
      </c>
      <c r="B4" t="s">
        <v>348</v>
      </c>
      <c r="C4" t="s">
        <v>354</v>
      </c>
      <c r="D4" t="s">
        <v>355</v>
      </c>
      <c r="E4" s="23">
        <v>42431</v>
      </c>
      <c r="F4" t="s">
        <v>9</v>
      </c>
      <c r="G4">
        <v>54</v>
      </c>
      <c r="H4" t="s">
        <v>356</v>
      </c>
    </row>
    <row r="5" spans="1:8" x14ac:dyDescent="0.25">
      <c r="A5" t="s">
        <v>10</v>
      </c>
      <c r="B5" t="s">
        <v>357</v>
      </c>
      <c r="C5" t="s">
        <v>358</v>
      </c>
      <c r="D5" t="s">
        <v>11</v>
      </c>
      <c r="E5" s="23">
        <v>45110</v>
      </c>
      <c r="F5">
        <v>103831</v>
      </c>
      <c r="G5">
        <v>70</v>
      </c>
      <c r="H5" t="s">
        <v>350</v>
      </c>
    </row>
    <row r="6" spans="1:8" x14ac:dyDescent="0.25">
      <c r="A6" t="s">
        <v>12</v>
      </c>
      <c r="B6" t="s">
        <v>359</v>
      </c>
      <c r="C6" t="s">
        <v>360</v>
      </c>
      <c r="D6" t="s">
        <v>5</v>
      </c>
      <c r="E6" s="23">
        <v>44977</v>
      </c>
      <c r="F6">
        <v>73785</v>
      </c>
      <c r="G6">
        <v>40</v>
      </c>
      <c r="H6" t="s">
        <v>13</v>
      </c>
    </row>
    <row r="7" spans="1:8" x14ac:dyDescent="0.25">
      <c r="A7" t="s">
        <v>14</v>
      </c>
      <c r="B7" t="s">
        <v>348</v>
      </c>
      <c r="C7" t="s">
        <v>361</v>
      </c>
      <c r="D7" t="s">
        <v>15</v>
      </c>
      <c r="E7" t="s">
        <v>362</v>
      </c>
      <c r="F7">
        <v>115882</v>
      </c>
      <c r="G7">
        <v>49</v>
      </c>
      <c r="H7" t="s">
        <v>353</v>
      </c>
    </row>
    <row r="8" spans="1:8" x14ac:dyDescent="0.25">
      <c r="A8" t="s">
        <v>16</v>
      </c>
      <c r="B8" t="s">
        <v>357</v>
      </c>
      <c r="C8" t="s">
        <v>363</v>
      </c>
      <c r="D8" t="s">
        <v>364</v>
      </c>
      <c r="E8" s="23">
        <v>45272</v>
      </c>
      <c r="F8">
        <v>59980</v>
      </c>
      <c r="G8">
        <v>70</v>
      </c>
      <c r="H8" t="s">
        <v>13</v>
      </c>
    </row>
    <row r="9" spans="1:8" x14ac:dyDescent="0.25">
      <c r="A9" t="s">
        <v>17</v>
      </c>
      <c r="B9" t="s">
        <v>365</v>
      </c>
      <c r="C9" t="s">
        <v>360</v>
      </c>
      <c r="D9" t="s">
        <v>364</v>
      </c>
      <c r="E9" s="23">
        <v>44174</v>
      </c>
      <c r="F9">
        <v>68728</v>
      </c>
      <c r="G9">
        <v>45</v>
      </c>
      <c r="H9" t="s">
        <v>353</v>
      </c>
    </row>
    <row r="10" spans="1:8" x14ac:dyDescent="0.25">
      <c r="A10" t="s">
        <v>18</v>
      </c>
      <c r="C10" t="s">
        <v>366</v>
      </c>
      <c r="D10" t="s">
        <v>11</v>
      </c>
      <c r="E10" s="23">
        <v>43107</v>
      </c>
      <c r="F10">
        <v>102139</v>
      </c>
      <c r="G10">
        <v>79</v>
      </c>
      <c r="H10" t="s">
        <v>350</v>
      </c>
    </row>
    <row r="11" spans="1:8" x14ac:dyDescent="0.25">
      <c r="A11" t="s">
        <v>19</v>
      </c>
      <c r="B11" t="s">
        <v>367</v>
      </c>
      <c r="C11" t="s">
        <v>358</v>
      </c>
      <c r="D11" t="s">
        <v>20</v>
      </c>
      <c r="E11" s="23">
        <v>42676</v>
      </c>
      <c r="F11">
        <v>94998</v>
      </c>
      <c r="G11">
        <v>58</v>
      </c>
      <c r="H11" t="s">
        <v>21</v>
      </c>
    </row>
    <row r="12" spans="1:8" x14ac:dyDescent="0.25">
      <c r="A12" t="s">
        <v>22</v>
      </c>
      <c r="B12" t="s">
        <v>348</v>
      </c>
      <c r="C12" t="s">
        <v>368</v>
      </c>
      <c r="D12" t="s">
        <v>369</v>
      </c>
      <c r="E12" s="23">
        <v>43911</v>
      </c>
      <c r="F12" t="s">
        <v>23</v>
      </c>
      <c r="G12">
        <v>49</v>
      </c>
      <c r="H12" t="s">
        <v>21</v>
      </c>
    </row>
    <row r="13" spans="1:8" x14ac:dyDescent="0.25">
      <c r="A13" t="s">
        <v>24</v>
      </c>
      <c r="B13" t="s">
        <v>348</v>
      </c>
      <c r="C13" t="s">
        <v>352</v>
      </c>
      <c r="D13" t="s">
        <v>5</v>
      </c>
      <c r="E13" s="23">
        <v>42425</v>
      </c>
      <c r="F13">
        <v>76918</v>
      </c>
      <c r="G13">
        <v>62</v>
      </c>
      <c r="H13" t="s">
        <v>370</v>
      </c>
    </row>
    <row r="14" spans="1:8" x14ac:dyDescent="0.25">
      <c r="A14" t="s">
        <v>25</v>
      </c>
      <c r="B14" t="s">
        <v>371</v>
      </c>
      <c r="C14" t="s">
        <v>372</v>
      </c>
      <c r="D14" t="s">
        <v>373</v>
      </c>
      <c r="E14" t="s">
        <v>374</v>
      </c>
      <c r="F14">
        <v>61408</v>
      </c>
      <c r="G14">
        <v>48</v>
      </c>
      <c r="H14" t="s">
        <v>353</v>
      </c>
    </row>
    <row r="15" spans="1:8" x14ac:dyDescent="0.25">
      <c r="A15" t="s">
        <v>26</v>
      </c>
      <c r="B15" t="s">
        <v>371</v>
      </c>
      <c r="C15" t="s">
        <v>368</v>
      </c>
      <c r="D15" t="s">
        <v>7</v>
      </c>
      <c r="E15" s="23">
        <v>44001</v>
      </c>
      <c r="F15">
        <v>99990</v>
      </c>
      <c r="G15">
        <v>54</v>
      </c>
      <c r="H15" t="s">
        <v>370</v>
      </c>
    </row>
    <row r="16" spans="1:8" x14ac:dyDescent="0.25">
      <c r="A16" t="s">
        <v>27</v>
      </c>
      <c r="B16" t="s">
        <v>375</v>
      </c>
      <c r="C16" t="s">
        <v>376</v>
      </c>
      <c r="D16" t="s">
        <v>377</v>
      </c>
      <c r="E16" s="23">
        <v>43820</v>
      </c>
      <c r="F16">
        <v>80385</v>
      </c>
      <c r="H16" t="s">
        <v>350</v>
      </c>
    </row>
    <row r="17" spans="1:8" x14ac:dyDescent="0.25">
      <c r="A17" t="s">
        <v>28</v>
      </c>
      <c r="B17" t="s">
        <v>359</v>
      </c>
      <c r="C17" t="s">
        <v>366</v>
      </c>
      <c r="D17" t="s">
        <v>20</v>
      </c>
      <c r="E17" s="23">
        <v>45169</v>
      </c>
      <c r="F17">
        <v>65290</v>
      </c>
      <c r="G17">
        <v>77</v>
      </c>
      <c r="H17" t="s">
        <v>350</v>
      </c>
    </row>
    <row r="18" spans="1:8" x14ac:dyDescent="0.25">
      <c r="A18" t="s">
        <v>29</v>
      </c>
      <c r="B18" t="s">
        <v>348</v>
      </c>
      <c r="C18" t="s">
        <v>378</v>
      </c>
      <c r="D18" t="s">
        <v>5</v>
      </c>
      <c r="E18" s="23">
        <v>42337</v>
      </c>
      <c r="F18">
        <v>105765</v>
      </c>
      <c r="G18">
        <v>42</v>
      </c>
      <c r="H18" t="s">
        <v>21</v>
      </c>
    </row>
    <row r="19" spans="1:8" x14ac:dyDescent="0.25">
      <c r="A19" t="s">
        <v>30</v>
      </c>
      <c r="B19" t="s">
        <v>379</v>
      </c>
      <c r="C19" t="s">
        <v>358</v>
      </c>
      <c r="D19" t="s">
        <v>20</v>
      </c>
      <c r="E19" s="23">
        <v>42899</v>
      </c>
      <c r="F19">
        <v>102921</v>
      </c>
      <c r="G19">
        <v>49</v>
      </c>
      <c r="H19" t="s">
        <v>353</v>
      </c>
    </row>
    <row r="20" spans="1:8" x14ac:dyDescent="0.25">
      <c r="A20" t="s">
        <v>24</v>
      </c>
      <c r="B20" t="s">
        <v>348</v>
      </c>
      <c r="C20" t="s">
        <v>352</v>
      </c>
      <c r="D20" t="s">
        <v>5</v>
      </c>
      <c r="E20" s="23">
        <v>42425</v>
      </c>
      <c r="F20">
        <v>76918</v>
      </c>
      <c r="G20">
        <v>62</v>
      </c>
      <c r="H20" t="s">
        <v>370</v>
      </c>
    </row>
    <row r="21" spans="1:8" x14ac:dyDescent="0.25">
      <c r="A21" t="s">
        <v>31</v>
      </c>
      <c r="B21" t="s">
        <v>380</v>
      </c>
      <c r="C21" t="s">
        <v>381</v>
      </c>
      <c r="D21" t="s">
        <v>7</v>
      </c>
      <c r="E21" s="23">
        <v>43235</v>
      </c>
      <c r="F21">
        <v>73984</v>
      </c>
      <c r="G21">
        <v>93</v>
      </c>
      <c r="H21" t="s">
        <v>370</v>
      </c>
    </row>
    <row r="22" spans="1:8" x14ac:dyDescent="0.25">
      <c r="A22" t="s">
        <v>32</v>
      </c>
      <c r="B22" t="s">
        <v>382</v>
      </c>
      <c r="C22" t="s">
        <v>354</v>
      </c>
      <c r="D22" t="s">
        <v>5</v>
      </c>
      <c r="E22" s="23">
        <v>42575</v>
      </c>
      <c r="G22">
        <v>75</v>
      </c>
      <c r="H22" t="s">
        <v>370</v>
      </c>
    </row>
    <row r="23" spans="1:8" x14ac:dyDescent="0.25">
      <c r="A23" t="s">
        <v>33</v>
      </c>
      <c r="B23" t="s">
        <v>367</v>
      </c>
      <c r="C23" t="s">
        <v>352</v>
      </c>
      <c r="D23" t="s">
        <v>11</v>
      </c>
      <c r="E23" s="23">
        <v>43076</v>
      </c>
      <c r="F23">
        <v>118527</v>
      </c>
      <c r="G23">
        <v>50</v>
      </c>
      <c r="H23" t="s">
        <v>370</v>
      </c>
    </row>
    <row r="24" spans="1:8" x14ac:dyDescent="0.25">
      <c r="A24" t="s">
        <v>34</v>
      </c>
      <c r="B24" t="s">
        <v>351</v>
      </c>
      <c r="C24" t="s">
        <v>352</v>
      </c>
      <c r="D24" t="s">
        <v>7</v>
      </c>
      <c r="E24" s="23">
        <v>44353</v>
      </c>
      <c r="F24">
        <v>107871</v>
      </c>
      <c r="G24">
        <v>88</v>
      </c>
      <c r="H24" t="s">
        <v>350</v>
      </c>
    </row>
    <row r="25" spans="1:8" x14ac:dyDescent="0.25">
      <c r="A25" t="s">
        <v>35</v>
      </c>
      <c r="B25" t="s">
        <v>367</v>
      </c>
      <c r="C25" t="s">
        <v>366</v>
      </c>
      <c r="D25" t="s">
        <v>355</v>
      </c>
      <c r="E25" s="23">
        <v>44815</v>
      </c>
      <c r="F25">
        <v>93956</v>
      </c>
      <c r="G25">
        <v>50</v>
      </c>
      <c r="H25" t="s">
        <v>356</v>
      </c>
    </row>
    <row r="26" spans="1:8" x14ac:dyDescent="0.25">
      <c r="A26" t="s">
        <v>36</v>
      </c>
      <c r="B26" t="s">
        <v>365</v>
      </c>
      <c r="C26" t="s">
        <v>361</v>
      </c>
      <c r="D26" t="s">
        <v>383</v>
      </c>
      <c r="E26" s="23">
        <v>42565</v>
      </c>
      <c r="F26">
        <v>100851</v>
      </c>
      <c r="G26">
        <v>64</v>
      </c>
      <c r="H26" t="s">
        <v>353</v>
      </c>
    </row>
    <row r="27" spans="1:8" x14ac:dyDescent="0.25">
      <c r="A27" t="s">
        <v>37</v>
      </c>
      <c r="B27" t="s">
        <v>380</v>
      </c>
      <c r="C27" t="s">
        <v>372</v>
      </c>
      <c r="D27" t="s">
        <v>20</v>
      </c>
      <c r="E27" s="23">
        <v>44728</v>
      </c>
      <c r="F27">
        <v>68655</v>
      </c>
      <c r="G27">
        <v>32</v>
      </c>
      <c r="H27" t="s">
        <v>350</v>
      </c>
    </row>
    <row r="28" spans="1:8" x14ac:dyDescent="0.25">
      <c r="A28" t="s">
        <v>38</v>
      </c>
      <c r="C28" t="s">
        <v>372</v>
      </c>
      <c r="D28" t="s">
        <v>384</v>
      </c>
      <c r="E28" s="23">
        <v>45134</v>
      </c>
      <c r="F28">
        <v>81205</v>
      </c>
      <c r="G28">
        <v>59</v>
      </c>
      <c r="H28" t="s">
        <v>370</v>
      </c>
    </row>
    <row r="29" spans="1:8" x14ac:dyDescent="0.25">
      <c r="A29" t="s">
        <v>39</v>
      </c>
      <c r="B29" t="s">
        <v>357</v>
      </c>
      <c r="C29" t="s">
        <v>363</v>
      </c>
      <c r="D29" t="s">
        <v>20</v>
      </c>
      <c r="E29" t="s">
        <v>385</v>
      </c>
      <c r="F29" t="s">
        <v>40</v>
      </c>
      <c r="G29">
        <v>88</v>
      </c>
      <c r="H29" t="s">
        <v>370</v>
      </c>
    </row>
    <row r="30" spans="1:8" x14ac:dyDescent="0.25">
      <c r="A30" t="s">
        <v>41</v>
      </c>
      <c r="B30" t="s">
        <v>359</v>
      </c>
      <c r="C30" t="s">
        <v>366</v>
      </c>
      <c r="D30" t="s">
        <v>386</v>
      </c>
      <c r="E30" s="23">
        <v>44765</v>
      </c>
      <c r="F30" t="s">
        <v>42</v>
      </c>
      <c r="G30">
        <v>90</v>
      </c>
      <c r="H30" t="s">
        <v>21</v>
      </c>
    </row>
    <row r="31" spans="1:8" x14ac:dyDescent="0.25">
      <c r="A31" t="s">
        <v>43</v>
      </c>
      <c r="B31" t="s">
        <v>367</v>
      </c>
      <c r="C31" t="s">
        <v>363</v>
      </c>
      <c r="D31" t="s">
        <v>387</v>
      </c>
      <c r="E31" t="s">
        <v>388</v>
      </c>
      <c r="F31">
        <v>85312</v>
      </c>
      <c r="G31">
        <v>66</v>
      </c>
      <c r="H31" t="s">
        <v>350</v>
      </c>
    </row>
    <row r="32" spans="1:8" x14ac:dyDescent="0.25">
      <c r="A32" t="s">
        <v>44</v>
      </c>
      <c r="B32" t="s">
        <v>357</v>
      </c>
      <c r="C32" t="s">
        <v>366</v>
      </c>
      <c r="D32" t="s">
        <v>20</v>
      </c>
      <c r="E32" s="23">
        <v>42202</v>
      </c>
      <c r="G32">
        <v>68</v>
      </c>
      <c r="H32" t="s">
        <v>350</v>
      </c>
    </row>
    <row r="33" spans="1:8" x14ac:dyDescent="0.25">
      <c r="A33" t="s">
        <v>45</v>
      </c>
      <c r="B33" t="s">
        <v>359</v>
      </c>
      <c r="C33" t="s">
        <v>352</v>
      </c>
      <c r="D33" t="s">
        <v>15</v>
      </c>
      <c r="E33" t="s">
        <v>389</v>
      </c>
      <c r="F33">
        <v>97055</v>
      </c>
      <c r="G33">
        <v>80</v>
      </c>
      <c r="H33" t="s">
        <v>370</v>
      </c>
    </row>
    <row r="34" spans="1:8" x14ac:dyDescent="0.25">
      <c r="A34" t="s">
        <v>46</v>
      </c>
      <c r="B34" t="s">
        <v>367</v>
      </c>
      <c r="C34" t="s">
        <v>361</v>
      </c>
      <c r="D34" t="s">
        <v>5</v>
      </c>
      <c r="E34" s="23">
        <v>45195</v>
      </c>
      <c r="F34">
        <v>66069</v>
      </c>
      <c r="G34">
        <v>72</v>
      </c>
      <c r="H34" t="s">
        <v>370</v>
      </c>
    </row>
    <row r="35" spans="1:8" x14ac:dyDescent="0.25">
      <c r="A35" t="s">
        <v>47</v>
      </c>
      <c r="B35" t="s">
        <v>390</v>
      </c>
      <c r="C35" t="s">
        <v>349</v>
      </c>
      <c r="D35" t="s">
        <v>386</v>
      </c>
      <c r="E35" t="s">
        <v>391</v>
      </c>
      <c r="F35">
        <v>90157</v>
      </c>
      <c r="G35">
        <v>58</v>
      </c>
      <c r="H35" t="s">
        <v>350</v>
      </c>
    </row>
    <row r="36" spans="1:8" x14ac:dyDescent="0.25">
      <c r="A36" t="s">
        <v>48</v>
      </c>
      <c r="B36" t="s">
        <v>371</v>
      </c>
      <c r="C36" t="s">
        <v>358</v>
      </c>
      <c r="D36" t="s">
        <v>49</v>
      </c>
      <c r="E36" s="23">
        <v>44578</v>
      </c>
      <c r="F36">
        <v>59899</v>
      </c>
      <c r="G36">
        <v>78</v>
      </c>
      <c r="H36" t="s">
        <v>370</v>
      </c>
    </row>
    <row r="37" spans="1:8" x14ac:dyDescent="0.25">
      <c r="A37" t="s">
        <v>50</v>
      </c>
      <c r="B37" t="s">
        <v>348</v>
      </c>
      <c r="C37" t="s">
        <v>376</v>
      </c>
      <c r="D37" t="s">
        <v>383</v>
      </c>
      <c r="E37" t="s">
        <v>392</v>
      </c>
      <c r="F37">
        <v>113389</v>
      </c>
      <c r="G37">
        <v>30</v>
      </c>
      <c r="H37" t="s">
        <v>353</v>
      </c>
    </row>
    <row r="38" spans="1:8" x14ac:dyDescent="0.25">
      <c r="A38" t="s">
        <v>51</v>
      </c>
      <c r="C38" t="s">
        <v>349</v>
      </c>
      <c r="D38" t="s">
        <v>355</v>
      </c>
      <c r="E38" t="s">
        <v>393</v>
      </c>
      <c r="F38">
        <v>102691</v>
      </c>
      <c r="G38">
        <v>52</v>
      </c>
      <c r="H38" t="s">
        <v>21</v>
      </c>
    </row>
    <row r="39" spans="1:8" x14ac:dyDescent="0.25">
      <c r="A39" t="s">
        <v>52</v>
      </c>
      <c r="B39" t="s">
        <v>357</v>
      </c>
      <c r="C39" t="s">
        <v>363</v>
      </c>
      <c r="D39" t="s">
        <v>15</v>
      </c>
      <c r="E39" t="s">
        <v>394</v>
      </c>
      <c r="F39">
        <v>111845</v>
      </c>
      <c r="G39">
        <v>98</v>
      </c>
      <c r="H39" t="s">
        <v>350</v>
      </c>
    </row>
    <row r="40" spans="1:8" x14ac:dyDescent="0.25">
      <c r="A40" t="s">
        <v>53</v>
      </c>
      <c r="B40" t="s">
        <v>395</v>
      </c>
      <c r="C40" t="s">
        <v>349</v>
      </c>
      <c r="D40" t="s">
        <v>384</v>
      </c>
      <c r="E40" t="s">
        <v>396</v>
      </c>
      <c r="F40">
        <v>69219</v>
      </c>
      <c r="G40">
        <v>93</v>
      </c>
      <c r="H40" t="s">
        <v>370</v>
      </c>
    </row>
    <row r="41" spans="1:8" x14ac:dyDescent="0.25">
      <c r="A41" t="s">
        <v>54</v>
      </c>
      <c r="B41" t="s">
        <v>367</v>
      </c>
      <c r="C41" t="s">
        <v>360</v>
      </c>
      <c r="D41" t="s">
        <v>11</v>
      </c>
      <c r="E41" s="23">
        <v>43949</v>
      </c>
      <c r="G41">
        <v>80</v>
      </c>
      <c r="H41" t="s">
        <v>397</v>
      </c>
    </row>
    <row r="42" spans="1:8" x14ac:dyDescent="0.25">
      <c r="A42" t="s">
        <v>55</v>
      </c>
      <c r="B42" t="s">
        <v>390</v>
      </c>
      <c r="C42" t="s">
        <v>368</v>
      </c>
      <c r="D42" t="s">
        <v>15</v>
      </c>
      <c r="E42" t="s">
        <v>398</v>
      </c>
      <c r="F42">
        <v>57514</v>
      </c>
      <c r="H42" t="s">
        <v>350</v>
      </c>
    </row>
    <row r="43" spans="1:8" x14ac:dyDescent="0.25">
      <c r="A43" t="s">
        <v>56</v>
      </c>
      <c r="B43" t="s">
        <v>348</v>
      </c>
      <c r="C43" t="s">
        <v>363</v>
      </c>
      <c r="D43" t="s">
        <v>20</v>
      </c>
      <c r="E43" s="23">
        <v>43181</v>
      </c>
      <c r="F43">
        <v>86245</v>
      </c>
      <c r="G43">
        <v>71</v>
      </c>
      <c r="H43" t="s">
        <v>356</v>
      </c>
    </row>
    <row r="44" spans="1:8" x14ac:dyDescent="0.25">
      <c r="A44" t="s">
        <v>57</v>
      </c>
      <c r="B44" t="s">
        <v>399</v>
      </c>
      <c r="C44" t="s">
        <v>352</v>
      </c>
      <c r="D44" t="s">
        <v>20</v>
      </c>
      <c r="E44" s="23">
        <v>43958</v>
      </c>
      <c r="F44">
        <v>52407</v>
      </c>
      <c r="G44">
        <v>55</v>
      </c>
      <c r="H44" t="s">
        <v>350</v>
      </c>
    </row>
    <row r="45" spans="1:8" x14ac:dyDescent="0.25">
      <c r="A45" t="s">
        <v>58</v>
      </c>
      <c r="B45" t="s">
        <v>379</v>
      </c>
      <c r="C45" t="s">
        <v>360</v>
      </c>
      <c r="D45" t="s">
        <v>364</v>
      </c>
      <c r="E45" s="23">
        <v>43549</v>
      </c>
      <c r="F45" t="s">
        <v>59</v>
      </c>
      <c r="G45">
        <v>93</v>
      </c>
      <c r="H45" t="s">
        <v>60</v>
      </c>
    </row>
    <row r="46" spans="1:8" x14ac:dyDescent="0.25">
      <c r="A46" t="s">
        <v>61</v>
      </c>
      <c r="B46" t="s">
        <v>390</v>
      </c>
      <c r="C46" t="s">
        <v>372</v>
      </c>
      <c r="D46" t="s">
        <v>5</v>
      </c>
      <c r="E46" s="23">
        <v>43686</v>
      </c>
      <c r="F46">
        <v>81896</v>
      </c>
      <c r="G46">
        <v>79</v>
      </c>
      <c r="H46" t="s">
        <v>60</v>
      </c>
    </row>
    <row r="47" spans="1:8" x14ac:dyDescent="0.25">
      <c r="A47" t="s">
        <v>62</v>
      </c>
      <c r="B47" t="s">
        <v>382</v>
      </c>
      <c r="C47" t="s">
        <v>381</v>
      </c>
      <c r="D47" t="s">
        <v>20</v>
      </c>
      <c r="E47" t="s">
        <v>400</v>
      </c>
      <c r="F47">
        <v>78402</v>
      </c>
      <c r="G47">
        <v>54</v>
      </c>
      <c r="H47" t="s">
        <v>353</v>
      </c>
    </row>
    <row r="48" spans="1:8" x14ac:dyDescent="0.25">
      <c r="A48" t="s">
        <v>63</v>
      </c>
      <c r="B48" t="s">
        <v>359</v>
      </c>
      <c r="C48" t="s">
        <v>381</v>
      </c>
      <c r="D48" t="s">
        <v>364</v>
      </c>
      <c r="E48" s="23">
        <v>42647</v>
      </c>
      <c r="F48">
        <v>105498</v>
      </c>
      <c r="G48">
        <v>76</v>
      </c>
      <c r="H48" t="s">
        <v>350</v>
      </c>
    </row>
    <row r="49" spans="1:8" x14ac:dyDescent="0.25">
      <c r="A49" t="s">
        <v>64</v>
      </c>
      <c r="B49" t="s">
        <v>395</v>
      </c>
      <c r="C49" t="s">
        <v>361</v>
      </c>
      <c r="D49" t="s">
        <v>7</v>
      </c>
      <c r="E49" t="s">
        <v>401</v>
      </c>
      <c r="F49">
        <v>91749</v>
      </c>
      <c r="G49">
        <v>72</v>
      </c>
      <c r="H49" t="s">
        <v>397</v>
      </c>
    </row>
    <row r="50" spans="1:8" x14ac:dyDescent="0.25">
      <c r="A50" t="s">
        <v>65</v>
      </c>
      <c r="B50" t="s">
        <v>382</v>
      </c>
      <c r="C50" t="s">
        <v>361</v>
      </c>
      <c r="D50" t="s">
        <v>364</v>
      </c>
      <c r="E50" s="23">
        <v>44437</v>
      </c>
      <c r="F50">
        <v>99935</v>
      </c>
      <c r="G50">
        <v>84</v>
      </c>
      <c r="H50" t="s">
        <v>60</v>
      </c>
    </row>
    <row r="51" spans="1:8" x14ac:dyDescent="0.25">
      <c r="A51" t="s">
        <v>66</v>
      </c>
      <c r="B51" t="s">
        <v>357</v>
      </c>
      <c r="C51" t="s">
        <v>378</v>
      </c>
      <c r="D51" t="s">
        <v>355</v>
      </c>
      <c r="E51" s="23">
        <v>42761</v>
      </c>
      <c r="F51">
        <v>83531</v>
      </c>
      <c r="G51">
        <v>30</v>
      </c>
      <c r="H51" t="s">
        <v>397</v>
      </c>
    </row>
    <row r="52" spans="1:8" x14ac:dyDescent="0.25">
      <c r="A52" t="s">
        <v>67</v>
      </c>
      <c r="B52" t="s">
        <v>379</v>
      </c>
      <c r="C52" t="s">
        <v>361</v>
      </c>
      <c r="D52" t="s">
        <v>373</v>
      </c>
      <c r="E52" s="23">
        <v>43981</v>
      </c>
      <c r="F52" t="s">
        <v>68</v>
      </c>
      <c r="H52" t="s">
        <v>353</v>
      </c>
    </row>
    <row r="53" spans="1:8" x14ac:dyDescent="0.25">
      <c r="A53" t="s">
        <v>69</v>
      </c>
      <c r="B53" t="s">
        <v>371</v>
      </c>
      <c r="C53" t="s">
        <v>378</v>
      </c>
      <c r="D53" t="s">
        <v>49</v>
      </c>
      <c r="E53" s="23">
        <v>44612</v>
      </c>
      <c r="F53">
        <v>93290</v>
      </c>
      <c r="G53">
        <v>53</v>
      </c>
      <c r="H53" t="s">
        <v>353</v>
      </c>
    </row>
    <row r="54" spans="1:8" x14ac:dyDescent="0.25">
      <c r="A54" t="s">
        <v>70</v>
      </c>
      <c r="B54" t="s">
        <v>351</v>
      </c>
      <c r="C54" t="s">
        <v>378</v>
      </c>
      <c r="D54" t="s">
        <v>15</v>
      </c>
      <c r="E54" s="23">
        <v>42628</v>
      </c>
      <c r="F54">
        <v>115527</v>
      </c>
      <c r="G54">
        <v>63</v>
      </c>
      <c r="H54" t="s">
        <v>60</v>
      </c>
    </row>
    <row r="55" spans="1:8" x14ac:dyDescent="0.25">
      <c r="A55" t="s">
        <v>71</v>
      </c>
      <c r="B55" t="s">
        <v>359</v>
      </c>
      <c r="C55" t="s">
        <v>366</v>
      </c>
      <c r="D55" t="s">
        <v>383</v>
      </c>
      <c r="E55" t="s">
        <v>402</v>
      </c>
      <c r="F55">
        <v>55920</v>
      </c>
      <c r="G55">
        <v>84</v>
      </c>
      <c r="H55" t="s">
        <v>370</v>
      </c>
    </row>
    <row r="56" spans="1:8" x14ac:dyDescent="0.25">
      <c r="A56" t="s">
        <v>72</v>
      </c>
      <c r="B56" t="s">
        <v>348</v>
      </c>
      <c r="C56" t="s">
        <v>361</v>
      </c>
      <c r="D56" t="s">
        <v>20</v>
      </c>
      <c r="E56" s="23">
        <v>43464</v>
      </c>
      <c r="F56">
        <v>80189</v>
      </c>
      <c r="G56">
        <v>30</v>
      </c>
      <c r="H56" t="s">
        <v>21</v>
      </c>
    </row>
    <row r="57" spans="1:8" x14ac:dyDescent="0.25">
      <c r="A57" t="s">
        <v>73</v>
      </c>
      <c r="B57" t="s">
        <v>348</v>
      </c>
      <c r="C57" t="s">
        <v>403</v>
      </c>
      <c r="D57" t="s">
        <v>49</v>
      </c>
      <c r="E57" s="23">
        <v>44189</v>
      </c>
      <c r="F57">
        <v>118947</v>
      </c>
      <c r="G57">
        <v>96</v>
      </c>
      <c r="H57" t="s">
        <v>350</v>
      </c>
    </row>
    <row r="58" spans="1:8" x14ac:dyDescent="0.25">
      <c r="A58" t="s">
        <v>74</v>
      </c>
      <c r="B58" t="s">
        <v>371</v>
      </c>
      <c r="C58" t="s">
        <v>404</v>
      </c>
      <c r="D58" t="s">
        <v>5</v>
      </c>
      <c r="E58" s="23">
        <v>45112</v>
      </c>
      <c r="G58">
        <v>54</v>
      </c>
      <c r="H58" t="s">
        <v>370</v>
      </c>
    </row>
    <row r="59" spans="1:8" x14ac:dyDescent="0.25">
      <c r="A59" t="s">
        <v>75</v>
      </c>
      <c r="B59" t="s">
        <v>359</v>
      </c>
      <c r="C59" t="s">
        <v>403</v>
      </c>
      <c r="D59" t="s">
        <v>364</v>
      </c>
      <c r="E59" s="23">
        <v>44148</v>
      </c>
      <c r="G59">
        <v>75</v>
      </c>
      <c r="H59" t="s">
        <v>370</v>
      </c>
    </row>
    <row r="60" spans="1:8" x14ac:dyDescent="0.25">
      <c r="A60" t="s">
        <v>76</v>
      </c>
      <c r="B60" t="s">
        <v>399</v>
      </c>
      <c r="C60" t="s">
        <v>358</v>
      </c>
      <c r="D60" t="s">
        <v>405</v>
      </c>
      <c r="E60" t="s">
        <v>406</v>
      </c>
      <c r="F60">
        <v>91655</v>
      </c>
      <c r="G60">
        <v>95</v>
      </c>
      <c r="H60" t="s">
        <v>21</v>
      </c>
    </row>
    <row r="61" spans="1:8" x14ac:dyDescent="0.25">
      <c r="A61" t="s">
        <v>77</v>
      </c>
      <c r="B61" t="s">
        <v>348</v>
      </c>
      <c r="C61" t="s">
        <v>349</v>
      </c>
      <c r="D61" t="s">
        <v>5</v>
      </c>
      <c r="E61" s="23">
        <v>45255</v>
      </c>
      <c r="F61">
        <v>49435</v>
      </c>
      <c r="H61" t="s">
        <v>397</v>
      </c>
    </row>
    <row r="62" spans="1:8" x14ac:dyDescent="0.25">
      <c r="A62" t="s">
        <v>78</v>
      </c>
      <c r="B62" t="s">
        <v>348</v>
      </c>
      <c r="C62" t="s">
        <v>363</v>
      </c>
      <c r="D62" t="s">
        <v>369</v>
      </c>
      <c r="E62" s="23">
        <v>45217</v>
      </c>
      <c r="F62">
        <v>110381</v>
      </c>
      <c r="G62">
        <v>93</v>
      </c>
      <c r="H62" t="s">
        <v>21</v>
      </c>
    </row>
    <row r="63" spans="1:8" x14ac:dyDescent="0.25">
      <c r="A63" t="s">
        <v>79</v>
      </c>
      <c r="B63" t="s">
        <v>367</v>
      </c>
      <c r="C63" t="s">
        <v>404</v>
      </c>
      <c r="D63" t="s">
        <v>49</v>
      </c>
      <c r="E63" s="23">
        <v>44079</v>
      </c>
      <c r="F63">
        <v>114748</v>
      </c>
      <c r="G63">
        <v>33</v>
      </c>
      <c r="H63" t="s">
        <v>350</v>
      </c>
    </row>
    <row r="64" spans="1:8" x14ac:dyDescent="0.25">
      <c r="A64" t="s">
        <v>80</v>
      </c>
      <c r="B64" t="s">
        <v>375</v>
      </c>
      <c r="C64" t="s">
        <v>361</v>
      </c>
      <c r="D64" t="s">
        <v>15</v>
      </c>
      <c r="E64" s="23">
        <v>42800</v>
      </c>
      <c r="F64">
        <v>63302</v>
      </c>
      <c r="G64">
        <v>91</v>
      </c>
      <c r="H64" t="s">
        <v>350</v>
      </c>
    </row>
    <row r="65" spans="1:8" x14ac:dyDescent="0.25">
      <c r="A65" t="s">
        <v>81</v>
      </c>
      <c r="B65" t="s">
        <v>375</v>
      </c>
      <c r="C65" t="s">
        <v>368</v>
      </c>
      <c r="D65" t="s">
        <v>386</v>
      </c>
      <c r="E65" s="23">
        <v>42122</v>
      </c>
      <c r="F65" t="s">
        <v>82</v>
      </c>
      <c r="G65">
        <v>64</v>
      </c>
      <c r="H65" t="s">
        <v>350</v>
      </c>
    </row>
    <row r="66" spans="1:8" x14ac:dyDescent="0.25">
      <c r="A66" t="s">
        <v>83</v>
      </c>
      <c r="B66" t="s">
        <v>371</v>
      </c>
      <c r="C66" t="s">
        <v>378</v>
      </c>
      <c r="D66" t="s">
        <v>383</v>
      </c>
      <c r="E66" s="23">
        <v>42838</v>
      </c>
      <c r="F66">
        <v>103891</v>
      </c>
      <c r="G66">
        <v>80</v>
      </c>
      <c r="H66" t="s">
        <v>350</v>
      </c>
    </row>
    <row r="67" spans="1:8" x14ac:dyDescent="0.25">
      <c r="A67" t="s">
        <v>84</v>
      </c>
      <c r="B67" t="s">
        <v>359</v>
      </c>
      <c r="C67" t="s">
        <v>378</v>
      </c>
      <c r="D67" t="s">
        <v>15</v>
      </c>
      <c r="E67" s="23">
        <v>44827</v>
      </c>
      <c r="G67">
        <v>46</v>
      </c>
      <c r="H67" t="s">
        <v>356</v>
      </c>
    </row>
    <row r="68" spans="1:8" x14ac:dyDescent="0.25">
      <c r="A68" t="s">
        <v>85</v>
      </c>
      <c r="B68" t="s">
        <v>359</v>
      </c>
      <c r="C68" t="s">
        <v>376</v>
      </c>
      <c r="D68" t="s">
        <v>377</v>
      </c>
      <c r="E68" t="s">
        <v>407</v>
      </c>
      <c r="F68" t="s">
        <v>86</v>
      </c>
      <c r="G68">
        <v>99</v>
      </c>
      <c r="H68" t="s">
        <v>350</v>
      </c>
    </row>
    <row r="69" spans="1:8" x14ac:dyDescent="0.25">
      <c r="A69" t="s">
        <v>87</v>
      </c>
      <c r="B69" t="s">
        <v>367</v>
      </c>
      <c r="C69" t="s">
        <v>368</v>
      </c>
      <c r="D69" t="s">
        <v>384</v>
      </c>
      <c r="E69" t="s">
        <v>408</v>
      </c>
      <c r="F69" t="s">
        <v>88</v>
      </c>
      <c r="H69" t="s">
        <v>370</v>
      </c>
    </row>
    <row r="70" spans="1:8" x14ac:dyDescent="0.25">
      <c r="A70" t="s">
        <v>89</v>
      </c>
      <c r="B70" t="s">
        <v>351</v>
      </c>
      <c r="C70" t="s">
        <v>354</v>
      </c>
      <c r="D70" t="s">
        <v>49</v>
      </c>
      <c r="E70" t="s">
        <v>409</v>
      </c>
      <c r="F70">
        <v>51567</v>
      </c>
      <c r="G70">
        <v>87</v>
      </c>
      <c r="H70" t="s">
        <v>60</v>
      </c>
    </row>
    <row r="71" spans="1:8" x14ac:dyDescent="0.25">
      <c r="A71" t="s">
        <v>90</v>
      </c>
      <c r="B71" t="s">
        <v>395</v>
      </c>
      <c r="C71" t="s">
        <v>372</v>
      </c>
      <c r="D71" t="s">
        <v>410</v>
      </c>
      <c r="E71" s="23">
        <v>44402</v>
      </c>
      <c r="G71">
        <v>36</v>
      </c>
      <c r="H71" t="s">
        <v>21</v>
      </c>
    </row>
    <row r="72" spans="1:8" x14ac:dyDescent="0.25">
      <c r="A72" t="s">
        <v>91</v>
      </c>
      <c r="B72" t="s">
        <v>375</v>
      </c>
      <c r="C72" t="s">
        <v>368</v>
      </c>
      <c r="D72" t="s">
        <v>49</v>
      </c>
      <c r="E72" s="23">
        <v>43008</v>
      </c>
      <c r="F72">
        <v>55270</v>
      </c>
      <c r="G72">
        <v>87</v>
      </c>
      <c r="H72" t="s">
        <v>370</v>
      </c>
    </row>
    <row r="73" spans="1:8" x14ac:dyDescent="0.25">
      <c r="A73" t="s">
        <v>92</v>
      </c>
      <c r="B73" t="s">
        <v>411</v>
      </c>
      <c r="C73" t="s">
        <v>403</v>
      </c>
      <c r="D73" t="s">
        <v>20</v>
      </c>
      <c r="E73" s="23">
        <v>42192</v>
      </c>
      <c r="F73">
        <v>65235</v>
      </c>
      <c r="G73">
        <v>97</v>
      </c>
      <c r="H73" t="s">
        <v>353</v>
      </c>
    </row>
    <row r="74" spans="1:8" x14ac:dyDescent="0.25">
      <c r="A74" t="s">
        <v>93</v>
      </c>
      <c r="B74" t="s">
        <v>357</v>
      </c>
      <c r="C74" t="s">
        <v>354</v>
      </c>
      <c r="D74" t="s">
        <v>20</v>
      </c>
      <c r="E74" s="23">
        <v>43283</v>
      </c>
      <c r="G74">
        <v>72</v>
      </c>
      <c r="H74" t="s">
        <v>356</v>
      </c>
    </row>
    <row r="75" spans="1:8" x14ac:dyDescent="0.25">
      <c r="A75" t="s">
        <v>94</v>
      </c>
      <c r="B75" t="s">
        <v>379</v>
      </c>
      <c r="C75" t="s">
        <v>354</v>
      </c>
      <c r="D75" t="s">
        <v>369</v>
      </c>
      <c r="E75" s="23">
        <v>44819</v>
      </c>
      <c r="G75">
        <v>65</v>
      </c>
      <c r="H75" t="s">
        <v>356</v>
      </c>
    </row>
    <row r="76" spans="1:8" x14ac:dyDescent="0.25">
      <c r="A76" t="s">
        <v>80</v>
      </c>
      <c r="B76" t="s">
        <v>375</v>
      </c>
      <c r="C76" t="s">
        <v>361</v>
      </c>
      <c r="D76" t="s">
        <v>15</v>
      </c>
      <c r="E76" s="23">
        <v>42800</v>
      </c>
      <c r="F76">
        <v>63302</v>
      </c>
      <c r="G76">
        <v>91</v>
      </c>
      <c r="H76" t="s">
        <v>350</v>
      </c>
    </row>
    <row r="77" spans="1:8" x14ac:dyDescent="0.25">
      <c r="A77" t="s">
        <v>95</v>
      </c>
      <c r="B77" t="s">
        <v>371</v>
      </c>
      <c r="C77" t="s">
        <v>354</v>
      </c>
      <c r="D77" t="s">
        <v>384</v>
      </c>
      <c r="E77" s="23">
        <v>42249</v>
      </c>
      <c r="G77">
        <v>67</v>
      </c>
      <c r="H77" t="s">
        <v>370</v>
      </c>
    </row>
    <row r="78" spans="1:8" x14ac:dyDescent="0.25">
      <c r="A78" t="s">
        <v>96</v>
      </c>
      <c r="B78" t="s">
        <v>399</v>
      </c>
      <c r="C78" t="s">
        <v>363</v>
      </c>
      <c r="D78" t="s">
        <v>412</v>
      </c>
      <c r="E78" t="s">
        <v>413</v>
      </c>
      <c r="F78">
        <v>48823</v>
      </c>
      <c r="G78">
        <v>34</v>
      </c>
      <c r="H78" t="s">
        <v>353</v>
      </c>
    </row>
    <row r="79" spans="1:8" x14ac:dyDescent="0.25">
      <c r="A79" t="s">
        <v>97</v>
      </c>
      <c r="B79" t="s">
        <v>371</v>
      </c>
      <c r="C79" t="s">
        <v>354</v>
      </c>
      <c r="D79" t="s">
        <v>383</v>
      </c>
      <c r="E79" s="23">
        <v>43575</v>
      </c>
      <c r="F79">
        <v>45196</v>
      </c>
      <c r="G79">
        <v>78</v>
      </c>
      <c r="H79" t="s">
        <v>356</v>
      </c>
    </row>
    <row r="80" spans="1:8" x14ac:dyDescent="0.25">
      <c r="A80" t="s">
        <v>98</v>
      </c>
      <c r="B80" t="s">
        <v>371</v>
      </c>
      <c r="C80" t="s">
        <v>366</v>
      </c>
      <c r="D80" t="s">
        <v>5</v>
      </c>
      <c r="E80" t="s">
        <v>414</v>
      </c>
      <c r="F80" t="s">
        <v>99</v>
      </c>
      <c r="G80">
        <v>61</v>
      </c>
      <c r="H80" t="s">
        <v>370</v>
      </c>
    </row>
    <row r="81" spans="1:8" x14ac:dyDescent="0.25">
      <c r="A81" t="s">
        <v>100</v>
      </c>
      <c r="B81" t="s">
        <v>348</v>
      </c>
      <c r="C81" t="s">
        <v>368</v>
      </c>
      <c r="D81" t="s">
        <v>20</v>
      </c>
      <c r="E81" t="s">
        <v>415</v>
      </c>
      <c r="F81">
        <v>70359</v>
      </c>
      <c r="G81">
        <v>74</v>
      </c>
      <c r="H81" t="s">
        <v>13</v>
      </c>
    </row>
    <row r="82" spans="1:8" x14ac:dyDescent="0.25">
      <c r="A82" t="s">
        <v>101</v>
      </c>
      <c r="B82" t="s">
        <v>390</v>
      </c>
      <c r="C82" t="s">
        <v>368</v>
      </c>
      <c r="D82" t="s">
        <v>377</v>
      </c>
      <c r="E82" s="23">
        <v>43599</v>
      </c>
      <c r="G82">
        <v>94</v>
      </c>
      <c r="H82" t="s">
        <v>353</v>
      </c>
    </row>
    <row r="83" spans="1:8" x14ac:dyDescent="0.25">
      <c r="A83" t="s">
        <v>45</v>
      </c>
      <c r="B83" t="s">
        <v>359</v>
      </c>
      <c r="C83" t="s">
        <v>352</v>
      </c>
      <c r="D83" t="s">
        <v>15</v>
      </c>
      <c r="E83" t="s">
        <v>389</v>
      </c>
      <c r="F83">
        <v>97055</v>
      </c>
      <c r="G83">
        <v>80</v>
      </c>
      <c r="H83" t="s">
        <v>370</v>
      </c>
    </row>
    <row r="84" spans="1:8" x14ac:dyDescent="0.25">
      <c r="A84" t="s">
        <v>102</v>
      </c>
      <c r="B84" t="s">
        <v>365</v>
      </c>
      <c r="C84" t="s">
        <v>403</v>
      </c>
      <c r="D84" t="s">
        <v>364</v>
      </c>
      <c r="E84" s="23">
        <v>42330</v>
      </c>
      <c r="F84">
        <v>86480</v>
      </c>
      <c r="H84" t="s">
        <v>353</v>
      </c>
    </row>
    <row r="85" spans="1:8" x14ac:dyDescent="0.25">
      <c r="A85" t="s">
        <v>103</v>
      </c>
      <c r="B85" t="s">
        <v>351</v>
      </c>
      <c r="C85" t="s">
        <v>360</v>
      </c>
      <c r="D85" t="s">
        <v>405</v>
      </c>
      <c r="E85" t="s">
        <v>416</v>
      </c>
      <c r="F85" t="s">
        <v>104</v>
      </c>
      <c r="G85">
        <v>75</v>
      </c>
      <c r="H85" t="s">
        <v>353</v>
      </c>
    </row>
    <row r="86" spans="1:8" x14ac:dyDescent="0.25">
      <c r="A86" t="s">
        <v>105</v>
      </c>
      <c r="B86" t="s">
        <v>395</v>
      </c>
      <c r="C86" t="s">
        <v>363</v>
      </c>
      <c r="D86" t="s">
        <v>5</v>
      </c>
      <c r="E86" s="23">
        <v>45171</v>
      </c>
      <c r="F86">
        <v>83724</v>
      </c>
      <c r="G86">
        <v>81</v>
      </c>
      <c r="H86" t="s">
        <v>60</v>
      </c>
    </row>
    <row r="87" spans="1:8" x14ac:dyDescent="0.25">
      <c r="A87" t="s">
        <v>106</v>
      </c>
      <c r="B87" t="s">
        <v>359</v>
      </c>
      <c r="C87" t="s">
        <v>372</v>
      </c>
      <c r="D87" t="s">
        <v>383</v>
      </c>
      <c r="E87" s="23">
        <v>44759</v>
      </c>
      <c r="F87">
        <v>98299</v>
      </c>
      <c r="G87">
        <v>61</v>
      </c>
      <c r="H87" t="s">
        <v>370</v>
      </c>
    </row>
    <row r="88" spans="1:8" x14ac:dyDescent="0.25">
      <c r="A88" t="s">
        <v>107</v>
      </c>
      <c r="B88" t="s">
        <v>399</v>
      </c>
      <c r="C88" t="s">
        <v>372</v>
      </c>
      <c r="D88" t="s">
        <v>11</v>
      </c>
      <c r="E88" t="s">
        <v>417</v>
      </c>
      <c r="G88">
        <v>68</v>
      </c>
      <c r="H88" t="s">
        <v>370</v>
      </c>
    </row>
    <row r="89" spans="1:8" x14ac:dyDescent="0.25">
      <c r="A89" t="s">
        <v>108</v>
      </c>
      <c r="B89" t="s">
        <v>357</v>
      </c>
      <c r="C89" t="s">
        <v>361</v>
      </c>
      <c r="D89" t="s">
        <v>386</v>
      </c>
      <c r="E89" t="s">
        <v>418</v>
      </c>
      <c r="F89">
        <v>52287</v>
      </c>
      <c r="G89">
        <v>70</v>
      </c>
      <c r="H89" t="s">
        <v>350</v>
      </c>
    </row>
    <row r="90" spans="1:8" x14ac:dyDescent="0.25">
      <c r="A90" t="s">
        <v>109</v>
      </c>
      <c r="B90" t="s">
        <v>351</v>
      </c>
      <c r="C90" t="s">
        <v>354</v>
      </c>
      <c r="D90" t="s">
        <v>5</v>
      </c>
      <c r="E90" s="23">
        <v>44073</v>
      </c>
      <c r="F90">
        <v>82633</v>
      </c>
      <c r="G90">
        <v>98</v>
      </c>
      <c r="H90" t="s">
        <v>353</v>
      </c>
    </row>
    <row r="91" spans="1:8" x14ac:dyDescent="0.25">
      <c r="A91" t="s">
        <v>110</v>
      </c>
      <c r="B91" t="s">
        <v>395</v>
      </c>
      <c r="C91" t="s">
        <v>404</v>
      </c>
      <c r="D91" t="s">
        <v>364</v>
      </c>
      <c r="E91" s="23">
        <v>44422</v>
      </c>
      <c r="F91">
        <v>46508</v>
      </c>
      <c r="G91">
        <v>34</v>
      </c>
      <c r="H91" t="s">
        <v>21</v>
      </c>
    </row>
    <row r="92" spans="1:8" x14ac:dyDescent="0.25">
      <c r="A92" t="s">
        <v>111</v>
      </c>
      <c r="B92" t="s">
        <v>348</v>
      </c>
      <c r="C92" t="s">
        <v>354</v>
      </c>
      <c r="D92" t="s">
        <v>405</v>
      </c>
      <c r="E92" t="s">
        <v>419</v>
      </c>
      <c r="F92">
        <v>86232</v>
      </c>
      <c r="G92">
        <v>93</v>
      </c>
      <c r="H92" t="s">
        <v>21</v>
      </c>
    </row>
    <row r="93" spans="1:8" x14ac:dyDescent="0.25">
      <c r="A93" t="s">
        <v>112</v>
      </c>
      <c r="B93" t="s">
        <v>371</v>
      </c>
      <c r="C93" t="s">
        <v>378</v>
      </c>
      <c r="D93" t="s">
        <v>386</v>
      </c>
      <c r="E93" t="s">
        <v>420</v>
      </c>
      <c r="F93" t="s">
        <v>113</v>
      </c>
      <c r="G93">
        <v>48</v>
      </c>
      <c r="H93" t="s">
        <v>21</v>
      </c>
    </row>
    <row r="94" spans="1:8" x14ac:dyDescent="0.25">
      <c r="A94" t="s">
        <v>114</v>
      </c>
      <c r="B94" t="s">
        <v>411</v>
      </c>
      <c r="C94" t="s">
        <v>354</v>
      </c>
      <c r="D94" t="s">
        <v>364</v>
      </c>
      <c r="E94" s="23">
        <v>43436</v>
      </c>
      <c r="F94">
        <v>68683</v>
      </c>
      <c r="G94">
        <v>90</v>
      </c>
      <c r="H94" t="s">
        <v>370</v>
      </c>
    </row>
    <row r="95" spans="1:8" x14ac:dyDescent="0.25">
      <c r="A95" t="s">
        <v>115</v>
      </c>
      <c r="B95" t="s">
        <v>359</v>
      </c>
      <c r="C95" t="s">
        <v>376</v>
      </c>
      <c r="D95" t="s">
        <v>11</v>
      </c>
      <c r="E95" s="23">
        <v>43639</v>
      </c>
      <c r="F95">
        <v>83932</v>
      </c>
      <c r="G95">
        <v>57</v>
      </c>
      <c r="H95" t="s">
        <v>356</v>
      </c>
    </row>
    <row r="96" spans="1:8" x14ac:dyDescent="0.25">
      <c r="A96" t="s">
        <v>116</v>
      </c>
      <c r="B96" t="s">
        <v>365</v>
      </c>
      <c r="C96" t="s">
        <v>404</v>
      </c>
      <c r="D96" t="s">
        <v>49</v>
      </c>
      <c r="E96" s="23">
        <v>42304</v>
      </c>
      <c r="F96">
        <v>56073</v>
      </c>
      <c r="G96">
        <v>79</v>
      </c>
      <c r="H96" t="s">
        <v>21</v>
      </c>
    </row>
    <row r="97" spans="1:8" x14ac:dyDescent="0.25">
      <c r="A97" t="s">
        <v>117</v>
      </c>
      <c r="B97" t="s">
        <v>395</v>
      </c>
      <c r="C97" t="s">
        <v>361</v>
      </c>
      <c r="D97" t="s">
        <v>355</v>
      </c>
      <c r="E97" s="23">
        <v>43270</v>
      </c>
      <c r="F97" t="s">
        <v>118</v>
      </c>
      <c r="G97">
        <v>66</v>
      </c>
      <c r="H97" t="s">
        <v>370</v>
      </c>
    </row>
    <row r="98" spans="1:8" x14ac:dyDescent="0.25">
      <c r="A98" t="s">
        <v>119</v>
      </c>
      <c r="B98" t="s">
        <v>359</v>
      </c>
      <c r="C98" t="s">
        <v>368</v>
      </c>
      <c r="D98" t="s">
        <v>412</v>
      </c>
      <c r="E98" s="23">
        <v>43112</v>
      </c>
      <c r="F98">
        <v>67414</v>
      </c>
      <c r="G98">
        <v>84</v>
      </c>
      <c r="H98" t="s">
        <v>13</v>
      </c>
    </row>
    <row r="99" spans="1:8" x14ac:dyDescent="0.25">
      <c r="A99" t="s">
        <v>120</v>
      </c>
      <c r="B99" t="s">
        <v>411</v>
      </c>
      <c r="C99" t="s">
        <v>354</v>
      </c>
      <c r="D99" t="s">
        <v>20</v>
      </c>
      <c r="E99" s="23">
        <v>42008</v>
      </c>
      <c r="F99" t="s">
        <v>121</v>
      </c>
      <c r="G99">
        <v>61</v>
      </c>
      <c r="H99" t="s">
        <v>370</v>
      </c>
    </row>
    <row r="100" spans="1:8" x14ac:dyDescent="0.25">
      <c r="A100" t="s">
        <v>122</v>
      </c>
      <c r="C100" t="s">
        <v>360</v>
      </c>
      <c r="D100" t="s">
        <v>20</v>
      </c>
      <c r="E100" s="23">
        <v>43439</v>
      </c>
      <c r="F100">
        <v>80140</v>
      </c>
      <c r="G100">
        <v>58</v>
      </c>
      <c r="H100" t="s">
        <v>21</v>
      </c>
    </row>
    <row r="101" spans="1:8" x14ac:dyDescent="0.25">
      <c r="A101" t="s">
        <v>123</v>
      </c>
      <c r="B101" t="s">
        <v>357</v>
      </c>
      <c r="C101" t="s">
        <v>361</v>
      </c>
      <c r="D101" t="s">
        <v>5</v>
      </c>
      <c r="E101" s="23">
        <v>44482</v>
      </c>
      <c r="F101">
        <v>73087</v>
      </c>
      <c r="G101">
        <v>69</v>
      </c>
      <c r="H101" t="s">
        <v>370</v>
      </c>
    </row>
    <row r="102" spans="1:8" x14ac:dyDescent="0.25">
      <c r="A102" t="s">
        <v>124</v>
      </c>
      <c r="B102" t="s">
        <v>371</v>
      </c>
      <c r="C102" t="s">
        <v>361</v>
      </c>
      <c r="D102" t="s">
        <v>384</v>
      </c>
      <c r="E102" s="23">
        <v>44081</v>
      </c>
      <c r="F102">
        <v>95292</v>
      </c>
      <c r="G102">
        <v>34</v>
      </c>
      <c r="H102" t="s">
        <v>350</v>
      </c>
    </row>
    <row r="103" spans="1:8" x14ac:dyDescent="0.25">
      <c r="A103" t="s">
        <v>125</v>
      </c>
      <c r="B103" t="s">
        <v>357</v>
      </c>
      <c r="C103" t="s">
        <v>376</v>
      </c>
      <c r="D103" t="s">
        <v>355</v>
      </c>
      <c r="E103" t="s">
        <v>421</v>
      </c>
      <c r="G103">
        <v>33</v>
      </c>
      <c r="H103" t="s">
        <v>350</v>
      </c>
    </row>
    <row r="104" spans="1:8" x14ac:dyDescent="0.25">
      <c r="A104" t="s">
        <v>126</v>
      </c>
      <c r="B104" t="s">
        <v>371</v>
      </c>
      <c r="C104" t="s">
        <v>381</v>
      </c>
      <c r="D104" t="s">
        <v>7</v>
      </c>
      <c r="E104" t="s">
        <v>422</v>
      </c>
      <c r="F104">
        <v>101750</v>
      </c>
      <c r="G104">
        <v>84</v>
      </c>
      <c r="H104" t="s">
        <v>397</v>
      </c>
    </row>
    <row r="105" spans="1:8" x14ac:dyDescent="0.25">
      <c r="A105" t="s">
        <v>127</v>
      </c>
      <c r="B105" t="s">
        <v>395</v>
      </c>
      <c r="C105" t="s">
        <v>354</v>
      </c>
      <c r="D105" t="s">
        <v>373</v>
      </c>
      <c r="E105" t="s">
        <v>423</v>
      </c>
      <c r="F105">
        <v>82992</v>
      </c>
      <c r="G105">
        <v>79</v>
      </c>
      <c r="H105" t="s">
        <v>370</v>
      </c>
    </row>
    <row r="106" spans="1:8" x14ac:dyDescent="0.25">
      <c r="A106" t="s">
        <v>128</v>
      </c>
      <c r="B106" t="s">
        <v>411</v>
      </c>
      <c r="C106" t="s">
        <v>378</v>
      </c>
      <c r="D106" t="s">
        <v>5</v>
      </c>
      <c r="E106" s="23">
        <v>45055</v>
      </c>
      <c r="F106" t="s">
        <v>129</v>
      </c>
      <c r="G106">
        <v>51</v>
      </c>
      <c r="H106" t="s">
        <v>350</v>
      </c>
    </row>
    <row r="107" spans="1:8" x14ac:dyDescent="0.25">
      <c r="A107" t="s">
        <v>130</v>
      </c>
      <c r="B107" t="s">
        <v>357</v>
      </c>
      <c r="C107" t="s">
        <v>360</v>
      </c>
      <c r="D107" t="s">
        <v>364</v>
      </c>
      <c r="E107" s="23">
        <v>43122</v>
      </c>
      <c r="F107">
        <v>89060</v>
      </c>
      <c r="G107">
        <v>58</v>
      </c>
      <c r="H107" t="s">
        <v>350</v>
      </c>
    </row>
    <row r="108" spans="1:8" x14ac:dyDescent="0.25">
      <c r="A108" t="s">
        <v>131</v>
      </c>
      <c r="B108" t="s">
        <v>379</v>
      </c>
      <c r="C108" t="s">
        <v>354</v>
      </c>
      <c r="D108" t="s">
        <v>5</v>
      </c>
      <c r="E108" s="23">
        <v>43879</v>
      </c>
      <c r="F108">
        <v>53786</v>
      </c>
      <c r="G108">
        <v>98</v>
      </c>
      <c r="H108" t="s">
        <v>21</v>
      </c>
    </row>
    <row r="109" spans="1:8" x14ac:dyDescent="0.25">
      <c r="A109" t="s">
        <v>132</v>
      </c>
      <c r="B109" t="s">
        <v>348</v>
      </c>
      <c r="C109" t="s">
        <v>361</v>
      </c>
      <c r="D109" t="s">
        <v>15</v>
      </c>
      <c r="E109" t="s">
        <v>424</v>
      </c>
      <c r="F109">
        <v>81167</v>
      </c>
      <c r="H109" t="s">
        <v>21</v>
      </c>
    </row>
    <row r="110" spans="1:8" x14ac:dyDescent="0.25">
      <c r="A110" t="s">
        <v>133</v>
      </c>
      <c r="B110" t="s">
        <v>411</v>
      </c>
      <c r="C110" t="s">
        <v>372</v>
      </c>
      <c r="D110" t="s">
        <v>7</v>
      </c>
      <c r="E110" s="23">
        <v>44349</v>
      </c>
      <c r="F110">
        <v>66688</v>
      </c>
      <c r="G110">
        <v>40</v>
      </c>
      <c r="H110" t="s">
        <v>397</v>
      </c>
    </row>
    <row r="111" spans="1:8" x14ac:dyDescent="0.25">
      <c r="A111" t="s">
        <v>134</v>
      </c>
      <c r="B111" t="s">
        <v>379</v>
      </c>
      <c r="C111" t="s">
        <v>376</v>
      </c>
      <c r="D111" t="s">
        <v>5</v>
      </c>
      <c r="E111" s="23">
        <v>44394</v>
      </c>
      <c r="F111">
        <v>91672</v>
      </c>
      <c r="G111">
        <v>88</v>
      </c>
      <c r="H111" t="s">
        <v>353</v>
      </c>
    </row>
    <row r="112" spans="1:8" x14ac:dyDescent="0.25">
      <c r="A112" t="s">
        <v>135</v>
      </c>
      <c r="B112" t="s">
        <v>365</v>
      </c>
      <c r="C112" t="s">
        <v>354</v>
      </c>
      <c r="D112" t="s">
        <v>410</v>
      </c>
      <c r="E112" t="s">
        <v>425</v>
      </c>
      <c r="F112" t="s">
        <v>136</v>
      </c>
      <c r="G112">
        <v>77</v>
      </c>
      <c r="H112" t="s">
        <v>350</v>
      </c>
    </row>
    <row r="113" spans="1:8" x14ac:dyDescent="0.25">
      <c r="A113" t="s">
        <v>137</v>
      </c>
      <c r="B113" t="s">
        <v>390</v>
      </c>
      <c r="C113" t="s">
        <v>368</v>
      </c>
      <c r="D113" t="s">
        <v>384</v>
      </c>
      <c r="E113" s="23">
        <v>43513</v>
      </c>
      <c r="F113" t="s">
        <v>138</v>
      </c>
      <c r="G113">
        <v>91</v>
      </c>
      <c r="H113" t="s">
        <v>350</v>
      </c>
    </row>
    <row r="114" spans="1:8" x14ac:dyDescent="0.25">
      <c r="A114" t="s">
        <v>139</v>
      </c>
      <c r="B114" t="s">
        <v>365</v>
      </c>
      <c r="C114" t="s">
        <v>360</v>
      </c>
      <c r="D114" t="s">
        <v>20</v>
      </c>
      <c r="E114" s="23">
        <v>42625</v>
      </c>
      <c r="F114">
        <v>114681</v>
      </c>
      <c r="G114">
        <v>36</v>
      </c>
      <c r="H114" t="s">
        <v>353</v>
      </c>
    </row>
    <row r="115" spans="1:8" x14ac:dyDescent="0.25">
      <c r="A115" t="s">
        <v>140</v>
      </c>
      <c r="B115" t="s">
        <v>359</v>
      </c>
      <c r="C115" t="s">
        <v>376</v>
      </c>
      <c r="D115" t="s">
        <v>364</v>
      </c>
      <c r="E115" t="s">
        <v>426</v>
      </c>
      <c r="F115" t="s">
        <v>141</v>
      </c>
      <c r="G115">
        <v>72</v>
      </c>
      <c r="H115" t="s">
        <v>21</v>
      </c>
    </row>
    <row r="116" spans="1:8" x14ac:dyDescent="0.25">
      <c r="A116" t="s">
        <v>142</v>
      </c>
      <c r="B116" t="s">
        <v>382</v>
      </c>
      <c r="C116" t="s">
        <v>349</v>
      </c>
      <c r="D116" t="s">
        <v>7</v>
      </c>
      <c r="E116" s="23">
        <v>43996</v>
      </c>
      <c r="F116" t="s">
        <v>143</v>
      </c>
      <c r="G116">
        <v>87</v>
      </c>
      <c r="H116" t="s">
        <v>350</v>
      </c>
    </row>
    <row r="117" spans="1:8" x14ac:dyDescent="0.25">
      <c r="A117" t="s">
        <v>144</v>
      </c>
      <c r="B117" t="s">
        <v>375</v>
      </c>
      <c r="C117" t="s">
        <v>358</v>
      </c>
      <c r="D117" t="s">
        <v>355</v>
      </c>
      <c r="E117" t="s">
        <v>427</v>
      </c>
      <c r="F117">
        <v>118008</v>
      </c>
      <c r="G117">
        <v>71</v>
      </c>
      <c r="H117" t="s">
        <v>350</v>
      </c>
    </row>
    <row r="118" spans="1:8" x14ac:dyDescent="0.25">
      <c r="A118" t="s">
        <v>145</v>
      </c>
      <c r="B118" t="s">
        <v>359</v>
      </c>
      <c r="C118" t="s">
        <v>368</v>
      </c>
      <c r="D118" t="s">
        <v>5</v>
      </c>
      <c r="E118" t="s">
        <v>428</v>
      </c>
      <c r="F118">
        <v>74370</v>
      </c>
      <c r="G118">
        <v>82</v>
      </c>
      <c r="H118" t="s">
        <v>370</v>
      </c>
    </row>
    <row r="119" spans="1:8" x14ac:dyDescent="0.25">
      <c r="A119" t="s">
        <v>146</v>
      </c>
      <c r="B119" t="s">
        <v>399</v>
      </c>
      <c r="C119" t="s">
        <v>366</v>
      </c>
      <c r="D119" t="s">
        <v>355</v>
      </c>
      <c r="E119" s="23">
        <v>44674</v>
      </c>
      <c r="F119">
        <v>77819</v>
      </c>
      <c r="G119">
        <v>79</v>
      </c>
      <c r="H119" t="s">
        <v>353</v>
      </c>
    </row>
    <row r="120" spans="1:8" x14ac:dyDescent="0.25">
      <c r="A120" t="s">
        <v>147</v>
      </c>
      <c r="B120" t="s">
        <v>371</v>
      </c>
      <c r="C120" t="s">
        <v>368</v>
      </c>
      <c r="D120" t="s">
        <v>377</v>
      </c>
      <c r="E120" t="s">
        <v>429</v>
      </c>
      <c r="F120">
        <v>48748</v>
      </c>
      <c r="G120">
        <v>83</v>
      </c>
      <c r="H120" t="s">
        <v>370</v>
      </c>
    </row>
    <row r="121" spans="1:8" x14ac:dyDescent="0.25">
      <c r="A121" t="s">
        <v>148</v>
      </c>
      <c r="B121" t="s">
        <v>379</v>
      </c>
      <c r="C121" t="s">
        <v>366</v>
      </c>
      <c r="D121" t="s">
        <v>15</v>
      </c>
      <c r="E121" s="23">
        <v>43971</v>
      </c>
      <c r="F121">
        <v>101997</v>
      </c>
      <c r="G121">
        <v>38</v>
      </c>
      <c r="H121" t="s">
        <v>60</v>
      </c>
    </row>
    <row r="122" spans="1:8" x14ac:dyDescent="0.25">
      <c r="A122" t="s">
        <v>149</v>
      </c>
      <c r="B122" t="s">
        <v>390</v>
      </c>
      <c r="C122" t="s">
        <v>366</v>
      </c>
      <c r="D122" t="s">
        <v>49</v>
      </c>
      <c r="E122" t="s">
        <v>430</v>
      </c>
      <c r="F122">
        <v>115260</v>
      </c>
      <c r="G122">
        <v>77</v>
      </c>
      <c r="H122" t="s">
        <v>370</v>
      </c>
    </row>
    <row r="123" spans="1:8" x14ac:dyDescent="0.25">
      <c r="A123" t="s">
        <v>150</v>
      </c>
      <c r="B123" t="s">
        <v>390</v>
      </c>
      <c r="C123" t="s">
        <v>363</v>
      </c>
      <c r="D123" t="s">
        <v>20</v>
      </c>
      <c r="E123" s="23">
        <v>44500</v>
      </c>
      <c r="G123">
        <v>49</v>
      </c>
      <c r="H123" t="s">
        <v>350</v>
      </c>
    </row>
    <row r="124" spans="1:8" x14ac:dyDescent="0.25">
      <c r="A124" t="s">
        <v>151</v>
      </c>
      <c r="B124" t="s">
        <v>395</v>
      </c>
      <c r="C124" t="s">
        <v>349</v>
      </c>
      <c r="D124" t="s">
        <v>355</v>
      </c>
      <c r="E124" t="s">
        <v>431</v>
      </c>
      <c r="G124">
        <v>69</v>
      </c>
      <c r="H124" t="s">
        <v>397</v>
      </c>
    </row>
    <row r="125" spans="1:8" x14ac:dyDescent="0.25">
      <c r="A125" t="s">
        <v>152</v>
      </c>
      <c r="B125" t="s">
        <v>375</v>
      </c>
      <c r="C125" t="s">
        <v>372</v>
      </c>
      <c r="D125" t="s">
        <v>20</v>
      </c>
      <c r="E125" s="23">
        <v>42956</v>
      </c>
      <c r="G125">
        <v>76</v>
      </c>
      <c r="H125" t="s">
        <v>350</v>
      </c>
    </row>
    <row r="126" spans="1:8" x14ac:dyDescent="0.25">
      <c r="A126" t="s">
        <v>153</v>
      </c>
      <c r="B126" t="s">
        <v>395</v>
      </c>
      <c r="C126" t="s">
        <v>366</v>
      </c>
      <c r="D126" t="s">
        <v>412</v>
      </c>
      <c r="E126" s="23">
        <v>44930</v>
      </c>
      <c r="F126">
        <v>60623</v>
      </c>
      <c r="G126">
        <v>78</v>
      </c>
      <c r="H126" t="s">
        <v>21</v>
      </c>
    </row>
    <row r="127" spans="1:8" x14ac:dyDescent="0.25">
      <c r="A127" t="s">
        <v>154</v>
      </c>
      <c r="B127" t="s">
        <v>379</v>
      </c>
      <c r="C127" t="s">
        <v>361</v>
      </c>
      <c r="D127" t="s">
        <v>410</v>
      </c>
      <c r="E127" t="s">
        <v>432</v>
      </c>
      <c r="F127" t="s">
        <v>155</v>
      </c>
      <c r="G127">
        <v>93</v>
      </c>
      <c r="H127" t="s">
        <v>350</v>
      </c>
    </row>
    <row r="128" spans="1:8" x14ac:dyDescent="0.25">
      <c r="A128" t="s">
        <v>156</v>
      </c>
      <c r="B128" t="s">
        <v>367</v>
      </c>
      <c r="C128" t="s">
        <v>363</v>
      </c>
      <c r="D128" t="s">
        <v>7</v>
      </c>
      <c r="E128" s="23">
        <v>44653</v>
      </c>
      <c r="F128">
        <v>88155</v>
      </c>
      <c r="G128">
        <v>68</v>
      </c>
      <c r="H128" t="s">
        <v>21</v>
      </c>
    </row>
    <row r="129" spans="1:8" x14ac:dyDescent="0.25">
      <c r="A129" t="s">
        <v>157</v>
      </c>
      <c r="B129" t="s">
        <v>411</v>
      </c>
      <c r="C129" t="s">
        <v>376</v>
      </c>
      <c r="D129" t="s">
        <v>7</v>
      </c>
      <c r="E129" t="s">
        <v>433</v>
      </c>
      <c r="F129">
        <v>107903</v>
      </c>
      <c r="G129">
        <v>42</v>
      </c>
      <c r="H129" t="s">
        <v>353</v>
      </c>
    </row>
    <row r="130" spans="1:8" x14ac:dyDescent="0.25">
      <c r="A130" t="s">
        <v>158</v>
      </c>
      <c r="B130" t="s">
        <v>411</v>
      </c>
      <c r="C130" t="s">
        <v>372</v>
      </c>
      <c r="D130" t="s">
        <v>5</v>
      </c>
      <c r="E130" s="23">
        <v>43305</v>
      </c>
      <c r="F130">
        <v>62818</v>
      </c>
      <c r="G130">
        <v>34</v>
      </c>
      <c r="H130" t="s">
        <v>353</v>
      </c>
    </row>
    <row r="131" spans="1:8" x14ac:dyDescent="0.25">
      <c r="A131" t="s">
        <v>159</v>
      </c>
      <c r="B131" t="s">
        <v>399</v>
      </c>
      <c r="C131" t="s">
        <v>372</v>
      </c>
      <c r="D131" t="s">
        <v>410</v>
      </c>
      <c r="E131" s="23">
        <v>43301</v>
      </c>
      <c r="F131">
        <v>85151</v>
      </c>
      <c r="G131">
        <v>35</v>
      </c>
      <c r="H131" t="s">
        <v>353</v>
      </c>
    </row>
    <row r="132" spans="1:8" x14ac:dyDescent="0.25">
      <c r="A132" t="s">
        <v>160</v>
      </c>
      <c r="B132" t="s">
        <v>371</v>
      </c>
      <c r="C132" t="s">
        <v>378</v>
      </c>
      <c r="D132" t="s">
        <v>383</v>
      </c>
      <c r="E132" t="s">
        <v>434</v>
      </c>
      <c r="F132">
        <v>46390</v>
      </c>
      <c r="G132">
        <v>95</v>
      </c>
      <c r="H132" t="s">
        <v>370</v>
      </c>
    </row>
    <row r="133" spans="1:8" x14ac:dyDescent="0.25">
      <c r="A133" t="s">
        <v>102</v>
      </c>
      <c r="B133" t="s">
        <v>365</v>
      </c>
      <c r="C133" t="s">
        <v>403</v>
      </c>
      <c r="D133" t="s">
        <v>364</v>
      </c>
      <c r="E133" s="23">
        <v>42330</v>
      </c>
      <c r="F133">
        <v>86480</v>
      </c>
      <c r="H133" t="s">
        <v>353</v>
      </c>
    </row>
    <row r="134" spans="1:8" x14ac:dyDescent="0.25">
      <c r="A134" t="s">
        <v>161</v>
      </c>
      <c r="B134" t="s">
        <v>357</v>
      </c>
      <c r="C134" t="s">
        <v>358</v>
      </c>
      <c r="D134" t="s">
        <v>410</v>
      </c>
      <c r="E134" s="23">
        <v>44643</v>
      </c>
      <c r="F134">
        <v>111920</v>
      </c>
      <c r="G134">
        <v>90</v>
      </c>
      <c r="H134" t="s">
        <v>356</v>
      </c>
    </row>
    <row r="135" spans="1:8" x14ac:dyDescent="0.25">
      <c r="A135" t="s">
        <v>162</v>
      </c>
      <c r="B135" t="s">
        <v>399</v>
      </c>
      <c r="C135" t="s">
        <v>404</v>
      </c>
      <c r="D135" t="s">
        <v>405</v>
      </c>
      <c r="E135" t="s">
        <v>435</v>
      </c>
      <c r="F135" t="s">
        <v>163</v>
      </c>
      <c r="G135">
        <v>42</v>
      </c>
      <c r="H135" t="s">
        <v>353</v>
      </c>
    </row>
    <row r="136" spans="1:8" x14ac:dyDescent="0.25">
      <c r="A136" t="s">
        <v>164</v>
      </c>
      <c r="B136" t="s">
        <v>390</v>
      </c>
      <c r="C136" t="s">
        <v>360</v>
      </c>
      <c r="D136" t="s">
        <v>20</v>
      </c>
      <c r="E136" t="s">
        <v>436</v>
      </c>
      <c r="F136" t="s">
        <v>165</v>
      </c>
      <c r="G136">
        <v>88</v>
      </c>
      <c r="H136" t="s">
        <v>60</v>
      </c>
    </row>
    <row r="137" spans="1:8" x14ac:dyDescent="0.25">
      <c r="A137" t="s">
        <v>166</v>
      </c>
      <c r="B137" t="s">
        <v>395</v>
      </c>
      <c r="C137" t="s">
        <v>352</v>
      </c>
      <c r="D137" t="s">
        <v>364</v>
      </c>
      <c r="E137" t="s">
        <v>437</v>
      </c>
      <c r="F137">
        <v>108395</v>
      </c>
      <c r="G137">
        <v>78</v>
      </c>
      <c r="H137" t="s">
        <v>13</v>
      </c>
    </row>
    <row r="138" spans="1:8" x14ac:dyDescent="0.25">
      <c r="A138" t="s">
        <v>167</v>
      </c>
      <c r="B138" t="s">
        <v>395</v>
      </c>
      <c r="C138" t="s">
        <v>361</v>
      </c>
      <c r="D138" t="s">
        <v>11</v>
      </c>
      <c r="E138" s="23">
        <v>43091</v>
      </c>
      <c r="F138">
        <v>88005</v>
      </c>
      <c r="G138">
        <v>69</v>
      </c>
      <c r="H138" t="s">
        <v>370</v>
      </c>
    </row>
    <row r="139" spans="1:8" x14ac:dyDescent="0.25">
      <c r="A139" t="s">
        <v>43</v>
      </c>
      <c r="B139" t="s">
        <v>367</v>
      </c>
      <c r="C139" t="s">
        <v>363</v>
      </c>
      <c r="D139" t="s">
        <v>387</v>
      </c>
      <c r="E139" t="s">
        <v>388</v>
      </c>
      <c r="F139">
        <v>85312</v>
      </c>
      <c r="G139">
        <v>66</v>
      </c>
      <c r="H139" t="s">
        <v>350</v>
      </c>
    </row>
    <row r="140" spans="1:8" x14ac:dyDescent="0.25">
      <c r="A140" t="s">
        <v>168</v>
      </c>
      <c r="B140" t="s">
        <v>371</v>
      </c>
      <c r="C140" t="s">
        <v>403</v>
      </c>
      <c r="D140" t="s">
        <v>377</v>
      </c>
      <c r="E140" t="s">
        <v>438</v>
      </c>
      <c r="F140">
        <v>83007</v>
      </c>
      <c r="G140">
        <v>82</v>
      </c>
      <c r="H140" t="s">
        <v>21</v>
      </c>
    </row>
    <row r="141" spans="1:8" x14ac:dyDescent="0.25">
      <c r="A141" t="s">
        <v>169</v>
      </c>
      <c r="B141" t="s">
        <v>399</v>
      </c>
      <c r="C141" t="s">
        <v>378</v>
      </c>
      <c r="D141" t="s">
        <v>5</v>
      </c>
      <c r="E141" s="23">
        <v>43360</v>
      </c>
      <c r="F141" t="s">
        <v>170</v>
      </c>
      <c r="G141">
        <v>68</v>
      </c>
      <c r="H141" t="s">
        <v>353</v>
      </c>
    </row>
    <row r="142" spans="1:8" x14ac:dyDescent="0.25">
      <c r="A142" t="s">
        <v>171</v>
      </c>
      <c r="B142" t="s">
        <v>379</v>
      </c>
      <c r="C142" t="s">
        <v>363</v>
      </c>
      <c r="D142" t="s">
        <v>369</v>
      </c>
      <c r="E142" s="23">
        <v>44375</v>
      </c>
      <c r="G142">
        <v>52</v>
      </c>
      <c r="H142" t="s">
        <v>21</v>
      </c>
    </row>
    <row r="143" spans="1:8" x14ac:dyDescent="0.25">
      <c r="A143" t="s">
        <v>172</v>
      </c>
      <c r="B143" t="s">
        <v>351</v>
      </c>
      <c r="C143" t="s">
        <v>361</v>
      </c>
      <c r="D143" t="s">
        <v>15</v>
      </c>
      <c r="E143" t="s">
        <v>439</v>
      </c>
      <c r="F143">
        <v>50399</v>
      </c>
      <c r="G143">
        <v>92</v>
      </c>
      <c r="H143" t="s">
        <v>397</v>
      </c>
    </row>
    <row r="144" spans="1:8" x14ac:dyDescent="0.25">
      <c r="A144" t="s">
        <v>173</v>
      </c>
      <c r="B144" t="s">
        <v>351</v>
      </c>
      <c r="C144" t="s">
        <v>372</v>
      </c>
      <c r="D144" t="s">
        <v>11</v>
      </c>
      <c r="E144" t="s">
        <v>440</v>
      </c>
      <c r="G144">
        <v>62</v>
      </c>
      <c r="H144" t="s">
        <v>353</v>
      </c>
    </row>
    <row r="145" spans="1:8" x14ac:dyDescent="0.25">
      <c r="A145" t="s">
        <v>174</v>
      </c>
      <c r="B145" t="s">
        <v>357</v>
      </c>
      <c r="C145" t="s">
        <v>352</v>
      </c>
      <c r="D145" t="s">
        <v>15</v>
      </c>
      <c r="E145" s="23">
        <v>43257</v>
      </c>
      <c r="F145">
        <v>52720</v>
      </c>
      <c r="G145">
        <v>68</v>
      </c>
      <c r="H145" t="s">
        <v>353</v>
      </c>
    </row>
    <row r="146" spans="1:8" x14ac:dyDescent="0.25">
      <c r="A146" t="s">
        <v>175</v>
      </c>
      <c r="B146" t="s">
        <v>390</v>
      </c>
      <c r="C146" t="s">
        <v>354</v>
      </c>
      <c r="D146" t="s">
        <v>15</v>
      </c>
      <c r="E146" s="23">
        <v>42932</v>
      </c>
      <c r="F146">
        <v>65065</v>
      </c>
      <c r="G146">
        <v>98</v>
      </c>
      <c r="H146" t="s">
        <v>21</v>
      </c>
    </row>
    <row r="147" spans="1:8" x14ac:dyDescent="0.25">
      <c r="A147" t="s">
        <v>176</v>
      </c>
      <c r="B147" t="s">
        <v>395</v>
      </c>
      <c r="C147" t="s">
        <v>352</v>
      </c>
      <c r="D147" t="s">
        <v>20</v>
      </c>
      <c r="E147" s="23">
        <v>42175</v>
      </c>
      <c r="G147">
        <v>94</v>
      </c>
      <c r="H147" t="s">
        <v>60</v>
      </c>
    </row>
    <row r="148" spans="1:8" x14ac:dyDescent="0.25">
      <c r="A148" t="s">
        <v>177</v>
      </c>
      <c r="B148" t="s">
        <v>395</v>
      </c>
      <c r="C148" t="s">
        <v>352</v>
      </c>
      <c r="D148" t="s">
        <v>364</v>
      </c>
      <c r="E148" s="23">
        <v>43609</v>
      </c>
      <c r="F148" t="s">
        <v>178</v>
      </c>
      <c r="G148">
        <v>57</v>
      </c>
      <c r="H148" t="s">
        <v>60</v>
      </c>
    </row>
    <row r="149" spans="1:8" x14ac:dyDescent="0.25">
      <c r="A149" t="s">
        <v>179</v>
      </c>
      <c r="B149" t="s">
        <v>357</v>
      </c>
      <c r="C149" t="s">
        <v>378</v>
      </c>
      <c r="D149" t="s">
        <v>386</v>
      </c>
      <c r="E149" s="23">
        <v>43887</v>
      </c>
      <c r="G149">
        <v>96</v>
      </c>
      <c r="H149" t="s">
        <v>350</v>
      </c>
    </row>
    <row r="150" spans="1:8" x14ac:dyDescent="0.25">
      <c r="A150" t="s">
        <v>180</v>
      </c>
      <c r="B150" t="s">
        <v>351</v>
      </c>
      <c r="C150" t="s">
        <v>378</v>
      </c>
      <c r="D150" t="s">
        <v>49</v>
      </c>
      <c r="E150" s="23">
        <v>44991</v>
      </c>
      <c r="F150">
        <v>106896</v>
      </c>
      <c r="G150">
        <v>52</v>
      </c>
      <c r="H150" t="s">
        <v>356</v>
      </c>
    </row>
    <row r="151" spans="1:8" x14ac:dyDescent="0.25">
      <c r="A151" t="s">
        <v>181</v>
      </c>
      <c r="C151" t="s">
        <v>376</v>
      </c>
      <c r="D151" t="s">
        <v>355</v>
      </c>
      <c r="E151" t="s">
        <v>441</v>
      </c>
      <c r="F151">
        <v>112887</v>
      </c>
      <c r="G151">
        <v>59</v>
      </c>
      <c r="H151" t="s">
        <v>370</v>
      </c>
    </row>
    <row r="152" spans="1:8" x14ac:dyDescent="0.25">
      <c r="A152" t="s">
        <v>134</v>
      </c>
      <c r="B152" t="s">
        <v>379</v>
      </c>
      <c r="C152" t="s">
        <v>376</v>
      </c>
      <c r="D152" t="s">
        <v>5</v>
      </c>
      <c r="E152" s="23">
        <v>44394</v>
      </c>
      <c r="F152">
        <v>91672</v>
      </c>
      <c r="G152">
        <v>88</v>
      </c>
      <c r="H152" t="s">
        <v>353</v>
      </c>
    </row>
    <row r="153" spans="1:8" x14ac:dyDescent="0.25">
      <c r="A153" t="s">
        <v>182</v>
      </c>
      <c r="B153" t="s">
        <v>411</v>
      </c>
      <c r="C153" t="s">
        <v>366</v>
      </c>
      <c r="D153" t="s">
        <v>11</v>
      </c>
      <c r="E153" s="23">
        <v>45037</v>
      </c>
      <c r="F153">
        <v>85457</v>
      </c>
      <c r="G153">
        <v>79</v>
      </c>
      <c r="H153" t="s">
        <v>353</v>
      </c>
    </row>
    <row r="154" spans="1:8" x14ac:dyDescent="0.25">
      <c r="A154" t="s">
        <v>183</v>
      </c>
      <c r="B154" t="s">
        <v>395</v>
      </c>
      <c r="C154" t="s">
        <v>368</v>
      </c>
      <c r="D154" t="s">
        <v>369</v>
      </c>
      <c r="E154" s="23">
        <v>42519</v>
      </c>
      <c r="F154">
        <v>62798</v>
      </c>
      <c r="G154">
        <v>30</v>
      </c>
      <c r="H154" t="s">
        <v>353</v>
      </c>
    </row>
    <row r="155" spans="1:8" x14ac:dyDescent="0.25">
      <c r="A155" t="s">
        <v>184</v>
      </c>
      <c r="B155" t="s">
        <v>348</v>
      </c>
      <c r="C155" t="s">
        <v>358</v>
      </c>
      <c r="D155" t="s">
        <v>15</v>
      </c>
      <c r="E155" s="23">
        <v>44711</v>
      </c>
      <c r="F155">
        <v>47794</v>
      </c>
      <c r="G155">
        <v>73</v>
      </c>
      <c r="H155" t="s">
        <v>356</v>
      </c>
    </row>
    <row r="156" spans="1:8" x14ac:dyDescent="0.25">
      <c r="A156" t="s">
        <v>44</v>
      </c>
      <c r="B156" t="s">
        <v>357</v>
      </c>
      <c r="C156" t="s">
        <v>366</v>
      </c>
      <c r="D156" t="s">
        <v>20</v>
      </c>
      <c r="E156" s="23">
        <v>42202</v>
      </c>
      <c r="G156">
        <v>68</v>
      </c>
      <c r="H156" t="s">
        <v>350</v>
      </c>
    </row>
    <row r="157" spans="1:8" x14ac:dyDescent="0.25">
      <c r="A157" t="s">
        <v>185</v>
      </c>
      <c r="B157" t="s">
        <v>379</v>
      </c>
      <c r="C157" t="s">
        <v>366</v>
      </c>
      <c r="D157" t="s">
        <v>7</v>
      </c>
      <c r="E157" t="s">
        <v>442</v>
      </c>
      <c r="F157">
        <v>93094</v>
      </c>
      <c r="G157">
        <v>74</v>
      </c>
      <c r="H157" t="s">
        <v>350</v>
      </c>
    </row>
    <row r="158" spans="1:8" x14ac:dyDescent="0.25">
      <c r="A158" t="s">
        <v>186</v>
      </c>
      <c r="B158" t="s">
        <v>382</v>
      </c>
      <c r="C158" t="s">
        <v>349</v>
      </c>
      <c r="D158" t="s">
        <v>5</v>
      </c>
      <c r="E158" s="23">
        <v>44848</v>
      </c>
      <c r="F158" t="s">
        <v>187</v>
      </c>
      <c r="G158">
        <v>91</v>
      </c>
      <c r="H158" t="s">
        <v>353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C4324C-FE28-4EBA-AAD3-149119D782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 Dashboard</vt:lpstr>
      <vt:lpstr>Analysis</vt:lpstr>
      <vt:lpstr>Cleaned Employee Dataset</vt:lpstr>
      <vt:lpstr>Lookup_Departments</vt:lpstr>
      <vt:lpstr>Lookup_Performance</vt:lpstr>
      <vt:lpstr>Raw_Employee_Data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Rashida Yakubu</cp:lastModifiedBy>
  <dcterms:created xsi:type="dcterms:W3CDTF">2026-06-04T20:20:01Z</dcterms:created>
  <dcterms:modified xsi:type="dcterms:W3CDTF">2026-07-05T23:22:58Z</dcterms:modified>
</cp:coreProperties>
</file>